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onselho" sheetId="3" state="visible" r:id="rId3"/>
    <sheet xmlns:r="http://schemas.openxmlformats.org/officeDocument/2006/relationships" name="Humor" sheetId="4" state="visible" r:id="rId4"/>
    <sheet xmlns:r="http://schemas.openxmlformats.org/officeDocument/2006/relationships" name="Assets novos" sheetId="5" state="visible" r:id="rId5"/>
  </sheets>
  <definedNames>
    <definedName name="_xlnm._FilterDatabase" localSheetId="0" hidden="1">'Reações'!$A$5:$Q$95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2A2636"/>
      <sz val="11"/>
    </font>
  </fonts>
  <fills count="5">
    <fill>
      <patternFill/>
    </fill>
    <fill>
      <patternFill patternType="gray125"/>
    </fill>
    <fill>
      <patternFill patternType="solid">
        <fgColor rgb="FF2A2636"/>
        <bgColor rgb="FF333300"/>
      </patternFill>
    </fill>
    <fill>
      <patternFill patternType="solid">
        <fgColor rgb="FFFFF9DB"/>
        <bgColor rgb="FFFFFFFF"/>
      </patternFill>
    </fill>
    <fill>
      <patternFill patternType="solid">
        <fgColor rgb="FFF4F1FA"/>
        <bgColor rgb="FFFFFFFF"/>
      </patternFill>
    </fill>
  </fills>
  <borders count="2">
    <border>
      <left/>
      <right/>
      <top/>
      <bottom/>
      <diagonal/>
    </border>
    <border>
      <left style="thin">
        <color rgb="FFD0CCDA"/>
      </left>
      <right style="thin">
        <color rgb="FFD0CCDA"/>
      </right>
      <top style="thin">
        <color rgb="FFD0CCDA"/>
      </top>
      <bottom style="thin">
        <color rgb="FFD0CCD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1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3" fontId="9" fillId="0" borderId="1" applyAlignment="1" pivotButton="0" quotePrefix="0" xfId="0">
      <alignment horizontal="center" vertical="top" wrapText="1"/>
    </xf>
    <xf numFmtId="3" fontId="8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1" fontId="8" fillId="0" borderId="1" applyAlignment="1" pivotButton="0" quotePrefix="0" xfId="0">
      <alignment horizontal="center" vertical="top" wrapText="1"/>
    </xf>
    <xf numFmtId="1" fontId="9" fillId="0" borderId="1" applyAlignment="1" pivotButton="0" quotePrefix="0" xfId="0">
      <alignment horizontal="center" vertical="top" wrapText="1"/>
    </xf>
    <xf numFmtId="49" fontId="8" fillId="0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general" vertical="top" wrapText="1"/>
    </xf>
    <xf numFmtId="1" fontId="8" fillId="4" borderId="1" applyAlignment="1" pivotButton="0" quotePrefix="0" xfId="0">
      <alignment horizontal="center" vertical="top" wrapText="1"/>
    </xf>
    <xf numFmtId="3" fontId="8" fillId="4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1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3" fontId="9" fillId="0" borderId="1" applyAlignment="1" pivotButton="0" quotePrefix="0" xfId="0">
      <alignment horizontal="center" vertical="top" wrapText="1"/>
    </xf>
    <xf numFmtId="3" fontId="8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1" fontId="8" fillId="0" borderId="1" applyAlignment="1" pivotButton="0" quotePrefix="0" xfId="0">
      <alignment horizontal="center" vertical="top" wrapText="1"/>
    </xf>
    <xf numFmtId="1" fontId="9" fillId="0" borderId="1" applyAlignment="1" pivotButton="0" quotePrefix="0" xfId="0">
      <alignment horizontal="center" vertical="top" wrapText="1"/>
    </xf>
    <xf numFmtId="49" fontId="8" fillId="0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general" vertical="top" wrapText="1"/>
    </xf>
    <xf numFmtId="1" fontId="8" fillId="4" borderId="1" applyAlignment="1" pivotButton="0" quotePrefix="0" xfId="0">
      <alignment horizontal="center" vertical="top" wrapText="1"/>
    </xf>
    <xf numFmtId="3" fontId="8" fillId="4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2A26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9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4F1FA"/>
      <rgbColor rgb="FF660066"/>
      <rgbColor rgb="FFFF8080"/>
      <rgbColor rgb="FF0066CC"/>
      <rgbColor rgb="FFD0CC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63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9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3" min="1" max="1"/>
    <col width="28" customWidth="1" style="23" min="2" max="2"/>
    <col width="10" customWidth="1" style="23" min="3" max="3"/>
    <col width="18" customWidth="1" style="23" min="4" max="4"/>
    <col width="38" customWidth="1" style="23" min="5" max="5"/>
    <col width="34" customWidth="1" style="23" min="6" max="6"/>
    <col width="8" customWidth="1" style="23" min="7" max="7"/>
    <col width="34" customWidth="1" style="23" min="8" max="8"/>
    <col width="8" customWidth="1" style="23" min="9" max="9"/>
    <col width="34" customWidth="1" style="23" min="10" max="10"/>
    <col width="8" customWidth="1" style="23" min="11" max="11"/>
    <col width="28" customWidth="1" style="23" min="12" max="12"/>
    <col width="8" customWidth="1" style="23" min="13" max="13"/>
    <col width="12" customWidth="1" style="23" min="14" max="14"/>
    <col width="14" customWidth="1" style="23" min="15" max="15"/>
    <col width="16" customWidth="1" style="23" min="16" max="16"/>
    <col width="30" customWidth="1" style="23" min="17" max="17"/>
  </cols>
  <sheetData>
    <row r="1" ht="17.35" customHeight="1" s="24">
      <c r="A1" s="25" t="inlineStr">
        <is>
          <t>Reações da Condessa (passivas e ativas)</t>
        </is>
      </c>
    </row>
    <row r="2" ht="15" customHeight="1" s="24">
      <c r="A2" s="26" t="inlineStr">
        <is>
          <t>Os gatilhos são só ideias: o Conselho (as 3 personas que compõem a Condessa) deve revisar cada um e decidir se aprova, ajusta ou substitui. Estados seguem a ficha (B olhos, C boca, D detalhes, F olhares, V fala, O íris livre, P/H/E camadas). Durações em azul são sugestões.</t>
        </is>
      </c>
    </row>
    <row r="3" ht="15" customHeight="1" s="24">
      <c r="A3" s="26" t="inlineStr">
        <is>
          <t>Regra: nunca menos de 80 reações. O Conselho pode decidir ter mais, ou propor ideias novas na aba Conselho, mas não menos. Passiva = acontece sozinha, sem evento. Ativa = disparada por algo.</t>
        </is>
      </c>
    </row>
    <row r="5" ht="31.5" customHeight="1" s="24">
      <c r="A5" s="27" t="inlineStr">
        <is>
          <t>Nº</t>
        </is>
      </c>
      <c r="B5" s="27" t="inlineStr">
        <is>
          <t>Reação</t>
        </is>
      </c>
      <c r="C5" s="27" t="inlineStr">
        <is>
          <t>Tipo</t>
        </is>
      </c>
      <c r="D5" s="27" t="inlineStr">
        <is>
          <t>Categoria</t>
        </is>
      </c>
      <c r="E5" s="27" t="inlineStr">
        <is>
          <t>Ideia de gatilho</t>
        </is>
      </c>
      <c r="F5" s="27" t="inlineStr">
        <is>
          <t>Passo 1</t>
        </is>
      </c>
      <c r="G5" s="27" t="inlineStr">
        <is>
          <t>ms 1</t>
        </is>
      </c>
      <c r="H5" s="27" t="inlineStr">
        <is>
          <t>Passo 2</t>
        </is>
      </c>
      <c r="I5" s="27" t="inlineStr">
        <is>
          <t>ms 2</t>
        </is>
      </c>
      <c r="J5" s="27" t="inlineStr">
        <is>
          <t>Passo 3</t>
        </is>
      </c>
      <c r="K5" s="27" t="inlineStr">
        <is>
          <t>ms 3</t>
        </is>
      </c>
      <c r="L5" s="27" t="inlineStr">
        <is>
          <t>Passo 4</t>
        </is>
      </c>
      <c r="M5" s="27" t="inlineStr">
        <is>
          <t>ms 4</t>
        </is>
      </c>
      <c r="N5" s="27" t="inlineStr">
        <is>
          <t>Duração total (ms)</t>
        </is>
      </c>
      <c r="O5" s="27" t="inlineStr">
        <is>
          <t>Asset novo necessário</t>
        </is>
      </c>
      <c r="P5" s="27" t="inlineStr">
        <is>
          <t>Decisão do Conselho</t>
        </is>
      </c>
      <c r="Q5" s="27" t="inlineStr">
        <is>
          <t>Notas do Conselho</t>
        </is>
      </c>
    </row>
    <row r="6" ht="23.85" customHeight="1" s="24">
      <c r="A6" s="28" t="n">
        <v>1</v>
      </c>
      <c r="B6" s="29" t="inlineStr">
        <is>
          <t>Respirar e balançar</t>
        </is>
      </c>
      <c r="C6" s="30" t="inlineStr">
        <is>
          <t>Passiva</t>
        </is>
      </c>
      <c r="D6" s="31" t="inlineStr">
        <is>
          <t>Ambiente</t>
        </is>
      </c>
      <c r="E6" s="31" t="inlineStr">
        <is>
          <t>Sempre ligado, em segundo plano</t>
        </is>
      </c>
      <c r="F6" s="31" t="inlineStr">
        <is>
          <t>B1 + C1 · respiração do corpo (P6)</t>
        </is>
      </c>
      <c r="G6" s="32" t="n">
        <v>4000</v>
      </c>
      <c r="H6" s="31" t="inlineStr">
        <is>
          <t>B1 + C1 · chiquinhas em vento leve (P2/P3/H5/H6)</t>
        </is>
      </c>
      <c r="I6" s="32" t="n">
        <v>3000</v>
      </c>
      <c r="J6" s="31" t="n"/>
      <c r="K6" s="30" t="n"/>
      <c r="L6" s="31" t="n"/>
      <c r="M6" s="30" t="n"/>
      <c r="N6" s="33">
        <f>SUM(G6,I6,K6,M6)</f>
        <v/>
      </c>
      <c r="O6" s="30" t="inlineStr">
        <is>
          <t>—</t>
        </is>
      </c>
      <c r="P6" s="34" t="inlineStr">
        <is>
          <t>Aprovada</t>
        </is>
      </c>
      <c r="Q6" s="35" t="inlineStr"/>
    </row>
    <row r="7" ht="15" customHeight="1" s="24">
      <c r="A7" s="28" t="n">
        <v>2</v>
      </c>
      <c r="B7" s="29" t="inlineStr">
        <is>
          <t>Sacada de olhar</t>
        </is>
      </c>
      <c r="C7" s="30" t="inlineStr">
        <is>
          <t>Passiva</t>
        </is>
      </c>
      <c r="D7" s="31" t="inlineStr">
        <is>
          <t>Ambiente</t>
        </is>
      </c>
      <c r="E7" s="31" t="inlineStr">
        <is>
          <t>Aleatório, a cada poucos segundos</t>
        </is>
      </c>
      <c r="F7" s="31" t="inlineStr">
        <is>
          <t>B1 + C1</t>
        </is>
      </c>
      <c r="G7" s="32" t="n">
        <v>2500</v>
      </c>
      <c r="H7" s="31" t="inlineStr">
        <is>
          <t>O1: íris desvia pro lado</t>
        </is>
      </c>
      <c r="I7" s="32" t="n">
        <v>700</v>
      </c>
      <c r="J7" s="31" t="inlineStr">
        <is>
          <t>O1: íris volta pra câmera</t>
        </is>
      </c>
      <c r="K7" s="32" t="n">
        <v>400</v>
      </c>
      <c r="L7" s="31" t="n"/>
      <c r="M7" s="30" t="n"/>
      <c r="N7" s="33">
        <f>SUM(G7,I7,K7,M7)</f>
        <v/>
      </c>
      <c r="O7" s="30" t="inlineStr">
        <is>
          <t>—</t>
        </is>
      </c>
      <c r="P7" s="34" t="inlineStr">
        <is>
          <t>Aprovada</t>
        </is>
      </c>
      <c r="Q7" s="35" t="inlineStr"/>
    </row>
    <row r="8" ht="15" customHeight="1" s="24">
      <c r="A8" s="28" t="n">
        <v>3</v>
      </c>
      <c r="B8" s="29" t="inlineStr">
        <is>
          <t>Piscada dupla</t>
        </is>
      </c>
      <c r="C8" s="30" t="inlineStr">
        <is>
          <t>Passiva</t>
        </is>
      </c>
      <c r="D8" s="31" t="inlineStr">
        <is>
          <t>Ambiente</t>
        </is>
      </c>
      <c r="E8" s="31" t="inlineStr">
        <is>
          <t>Aleatório, raro</t>
        </is>
      </c>
      <c r="F8" s="31" t="inlineStr">
        <is>
          <t>B2</t>
        </is>
      </c>
      <c r="G8" s="32" t="n">
        <v>40</v>
      </c>
      <c r="H8" s="31" t="inlineStr">
        <is>
          <t>B3</t>
        </is>
      </c>
      <c r="I8" s="32" t="n">
        <v>80</v>
      </c>
      <c r="J8" s="31" t="inlineStr">
        <is>
          <t>B1</t>
        </is>
      </c>
      <c r="K8" s="32" t="n">
        <v>120</v>
      </c>
      <c r="L8" s="31" t="inlineStr">
        <is>
          <t>B2 → B3 → B1</t>
        </is>
      </c>
      <c r="M8" s="32" t="n">
        <v>200</v>
      </c>
      <c r="N8" s="33">
        <f>SUM(G8,I8,K8,M8)</f>
        <v/>
      </c>
      <c r="O8" s="30" t="inlineStr">
        <is>
          <t>—</t>
        </is>
      </c>
      <c r="P8" s="34" t="inlineStr">
        <is>
          <t>Aprovada</t>
        </is>
      </c>
      <c r="Q8" s="35" t="inlineStr"/>
    </row>
    <row r="9" ht="23.85" customHeight="1" s="24">
      <c r="A9" s="28" t="n">
        <v>4</v>
      </c>
      <c r="B9" s="29" t="inlineStr">
        <is>
          <t>Piscada lenta de gato</t>
        </is>
      </c>
      <c r="C9" s="30" t="inlineStr">
        <is>
          <t>Passiva</t>
        </is>
      </c>
      <c r="D9" s="31" t="inlineStr">
        <is>
          <t>Ambiente</t>
        </is>
      </c>
      <c r="E9" s="31" t="inlineStr">
        <is>
          <t>Aleatório quando está calma ou de bom humor</t>
        </is>
      </c>
      <c r="F9" s="31" t="inlineStr">
        <is>
          <t>B2</t>
        </is>
      </c>
      <c r="G9" s="32" t="n">
        <v>150</v>
      </c>
      <c r="H9" s="31" t="inlineStr">
        <is>
          <t>B3 + C5</t>
        </is>
      </c>
      <c r="I9" s="32" t="n">
        <v>500</v>
      </c>
      <c r="J9" s="31" t="inlineStr">
        <is>
          <t>B2</t>
        </is>
      </c>
      <c r="K9" s="32" t="n">
        <v>150</v>
      </c>
      <c r="L9" s="31" t="inlineStr">
        <is>
          <t>B1 + C1</t>
        </is>
      </c>
      <c r="M9" s="32" t="n">
        <v>200</v>
      </c>
      <c r="N9" s="33">
        <f>SUM(G9,I9,K9,M9)</f>
        <v/>
      </c>
      <c r="O9" s="30" t="inlineStr">
        <is>
          <t>—</t>
        </is>
      </c>
      <c r="P9" s="34" t="inlineStr">
        <is>
          <t>Aprovada</t>
        </is>
      </c>
      <c r="Q9" s="35" t="inlineStr"/>
    </row>
    <row r="10" ht="23.85" customHeight="1" s="24">
      <c r="A10" s="28" t="n">
        <v>5</v>
      </c>
      <c r="B10" s="29" t="inlineStr">
        <is>
          <t>Seguir o cursor</t>
        </is>
      </c>
      <c r="C10" s="30" t="inlineStr">
        <is>
          <t>Passiva</t>
        </is>
      </c>
      <c r="D10" s="31" t="inlineStr">
        <is>
          <t>Ambiente</t>
        </is>
      </c>
      <c r="E10" s="31" t="inlineStr">
        <is>
          <t>Mouse em movimento pela tela</t>
        </is>
      </c>
      <c r="F10" s="31" t="inlineStr">
        <is>
          <t>O1: íris acompanha o cursor em sacadas curtas</t>
        </is>
      </c>
      <c r="G10" s="32" t="n">
        <v>2000</v>
      </c>
      <c r="H10" s="31" t="n"/>
      <c r="I10" s="30" t="n"/>
      <c r="J10" s="31" t="n"/>
      <c r="K10" s="30" t="n"/>
      <c r="L10" s="31" t="n"/>
      <c r="M10" s="30" t="n"/>
      <c r="N10" s="33">
        <f>SUM(G10,I10,K10,M10)</f>
        <v/>
      </c>
      <c r="O10" s="30" t="inlineStr">
        <is>
          <t>—</t>
        </is>
      </c>
      <c r="P10" s="34" t="inlineStr">
        <is>
          <t>Ajustar gatilho</t>
        </is>
      </c>
      <c r="Q10" s="35" t="inlineStr">
        <is>
          <t>sacada curta para o card que acabou de mudar (faixa, manchete, FPS)</t>
        </is>
      </c>
    </row>
    <row r="11" ht="15" customHeight="1" s="24">
      <c r="A11" s="28" t="n">
        <v>6</v>
      </c>
      <c r="B11" s="29" t="inlineStr">
        <is>
          <t>Observando o HUD</t>
        </is>
      </c>
      <c r="C11" s="30" t="inlineStr">
        <is>
          <t>Passiva</t>
        </is>
      </c>
      <c r="D11" s="31" t="inlineStr">
        <is>
          <t>Ambiente</t>
        </is>
      </c>
      <c r="E11" s="31" t="inlineStr">
        <is>
          <t>Aleatório, como quem confere os cards</t>
        </is>
      </c>
      <c r="F11" s="31" t="inlineStr">
        <is>
          <t>F1 (lado do MAGI)</t>
        </is>
      </c>
      <c r="G11" s="32" t="n">
        <v>900</v>
      </c>
      <c r="H11" s="31" t="inlineStr">
        <is>
          <t>F4 (Now playing)</t>
        </is>
      </c>
      <c r="I11" s="32" t="n">
        <v>900</v>
      </c>
      <c r="J11" s="31" t="inlineStr">
        <is>
          <t>F5 (Rádio / Claude Code)</t>
        </is>
      </c>
      <c r="K11" s="32" t="n">
        <v>900</v>
      </c>
      <c r="L11" s="31" t="inlineStr">
        <is>
          <t>F3 (FPS / rede)</t>
        </is>
      </c>
      <c r="M11" s="32" t="n">
        <v>900</v>
      </c>
      <c r="N11" s="33">
        <f>SUM(G11,I11,K11,M11)</f>
        <v/>
      </c>
      <c r="O11" s="30" t="inlineStr">
        <is>
          <t>—</t>
        </is>
      </c>
      <c r="P11" s="34" t="inlineStr">
        <is>
          <t>Aprovada</t>
        </is>
      </c>
      <c r="Q11" s="35" t="inlineStr"/>
    </row>
    <row r="12" ht="15" customHeight="1" s="24">
      <c r="A12" s="28" t="n">
        <v>7</v>
      </c>
      <c r="B12" s="29" t="inlineStr">
        <is>
          <t>Micro sorriso de canto</t>
        </is>
      </c>
      <c r="C12" s="30" t="inlineStr">
        <is>
          <t>Passiva</t>
        </is>
      </c>
      <c r="D12" s="31" t="inlineStr">
        <is>
          <t>Ambiente</t>
        </is>
      </c>
      <c r="E12" s="31" t="inlineStr">
        <is>
          <t>Aleatório</t>
        </is>
      </c>
      <c r="F12" s="31" t="inlineStr">
        <is>
          <t>B1 + C10</t>
        </is>
      </c>
      <c r="G12" s="32" t="n">
        <v>1500</v>
      </c>
      <c r="H12" s="31" t="n"/>
      <c r="I12" s="30" t="n"/>
      <c r="J12" s="31" t="n"/>
      <c r="K12" s="30" t="n"/>
      <c r="L12" s="31" t="n"/>
      <c r="M12" s="30" t="n"/>
      <c r="N12" s="33">
        <f>SUM(G12,I12,K12,M12)</f>
        <v/>
      </c>
      <c r="O12" s="30" t="inlineStr">
        <is>
          <t>—</t>
        </is>
      </c>
      <c r="P12" s="34" t="inlineStr">
        <is>
          <t>Aprovada</t>
        </is>
      </c>
      <c r="Q12" s="35" t="inlineStr"/>
    </row>
    <row r="13" ht="15" customHeight="1" s="24">
      <c r="A13" s="28" t="n">
        <v>8</v>
      </c>
      <c r="B13" s="29" t="inlineStr">
        <is>
          <t>Beicinho passageiro</t>
        </is>
      </c>
      <c r="C13" s="30" t="inlineStr">
        <is>
          <t>Passiva</t>
        </is>
      </c>
      <c r="D13" s="31" t="inlineStr">
        <is>
          <t>Ambiente</t>
        </is>
      </c>
      <c r="E13" s="31" t="inlineStr">
        <is>
          <t>Aleatório</t>
        </is>
      </c>
      <c r="F13" s="31" t="inlineStr">
        <is>
          <t>B1 + C9</t>
        </is>
      </c>
      <c r="G13" s="32" t="n">
        <v>1200</v>
      </c>
      <c r="H13" s="31" t="n"/>
      <c r="I13" s="30" t="n"/>
      <c r="J13" s="31" t="n"/>
      <c r="K13" s="30" t="n"/>
      <c r="L13" s="31" t="n"/>
      <c r="M13" s="30" t="n"/>
      <c r="N13" s="33">
        <f>SUM(G13,I13,K13,M13)</f>
        <v/>
      </c>
      <c r="O13" s="30" t="inlineStr">
        <is>
          <t>—</t>
        </is>
      </c>
      <c r="P13" s="34" t="inlineStr">
        <is>
          <t>Aprovada</t>
        </is>
      </c>
      <c r="Q13" s="35" t="inlineStr"/>
    </row>
    <row r="14" ht="15" customHeight="1" s="24">
      <c r="A14" s="28" t="n">
        <v>9</v>
      </c>
      <c r="B14" s="29" t="inlineStr">
        <is>
          <t>Suspiro leve</t>
        </is>
      </c>
      <c r="C14" s="30" t="inlineStr">
        <is>
          <t>Passiva</t>
        </is>
      </c>
      <c r="D14" s="31" t="inlineStr">
        <is>
          <t>Ambiente</t>
        </is>
      </c>
      <c r="E14" s="31" t="inlineStr">
        <is>
          <t>Aleatório</t>
        </is>
      </c>
      <c r="F14" s="31" t="inlineStr">
        <is>
          <t>B2 + C4 · respiração funda</t>
        </is>
      </c>
      <c r="G14" s="32" t="n">
        <v>900</v>
      </c>
      <c r="H14" s="31" t="inlineStr">
        <is>
          <t>B1 + C1</t>
        </is>
      </c>
      <c r="I14" s="32" t="n">
        <v>500</v>
      </c>
      <c r="J14" s="31" t="n"/>
      <c r="K14" s="30" t="n"/>
      <c r="L14" s="31" t="n"/>
      <c r="M14" s="30" t="n"/>
      <c r="N14" s="33">
        <f>SUM(G14,I14,K14,M14)</f>
        <v/>
      </c>
      <c r="O14" s="30" t="inlineStr">
        <is>
          <t>—</t>
        </is>
      </c>
      <c r="P14" s="34" t="inlineStr">
        <is>
          <t>Aprovada</t>
        </is>
      </c>
      <c r="Q14" s="35" t="inlineStr"/>
    </row>
    <row r="15" ht="15" customHeight="1" s="24">
      <c r="A15" s="28" t="n">
        <v>10</v>
      </c>
      <c r="B15" s="29" t="inlineStr">
        <is>
          <t>Cantarolando sozinha</t>
        </is>
      </c>
      <c r="C15" s="30" t="inlineStr">
        <is>
          <t>Passiva</t>
        </is>
      </c>
      <c r="D15" s="31" t="inlineStr">
        <is>
          <t>Ambiente</t>
        </is>
      </c>
      <c r="E15" s="31" t="inlineStr">
        <is>
          <t>Aleatório e raro, sem música tocando</t>
        </is>
      </c>
      <c r="F15" s="31" t="inlineStr">
        <is>
          <t>B2 + C13</t>
        </is>
      </c>
      <c r="G15" s="32" t="n">
        <v>1200</v>
      </c>
      <c r="H15" s="31" t="inlineStr">
        <is>
          <t>B1 + C1 + D6 (uma nota)</t>
        </is>
      </c>
      <c r="I15" s="32" t="n">
        <v>1000</v>
      </c>
      <c r="J15" s="31" t="n"/>
      <c r="K15" s="30" t="n"/>
      <c r="L15" s="31" t="n"/>
      <c r="M15" s="30" t="n"/>
      <c r="N15" s="33">
        <f>SUM(G15,I15,K15,M15)</f>
        <v/>
      </c>
      <c r="O15" s="30" t="inlineStr">
        <is>
          <t>—</t>
        </is>
      </c>
      <c r="P15" s="34" t="inlineStr">
        <is>
          <t>Aprovada</t>
        </is>
      </c>
      <c r="Q15" s="35" t="inlineStr"/>
    </row>
    <row r="16" ht="15" customHeight="1" s="24">
      <c r="A16" s="28" t="n">
        <v>11</v>
      </c>
      <c r="B16" s="29" t="inlineStr">
        <is>
          <t>Rindo sozinha</t>
        </is>
      </c>
      <c r="C16" s="30" t="inlineStr">
        <is>
          <t>Passiva</t>
        </is>
      </c>
      <c r="D16" s="31" t="inlineStr">
        <is>
          <t>Ambiente</t>
        </is>
      </c>
      <c r="E16" s="31" t="inlineStr">
        <is>
          <t>Aleatório e raro (lembrou de algo)</t>
        </is>
      </c>
      <c r="F16" s="31" t="inlineStr">
        <is>
          <t>B1 + C5</t>
        </is>
      </c>
      <c r="G16" s="32" t="n">
        <v>800</v>
      </c>
      <c r="H16" s="31" t="inlineStr">
        <is>
          <t>B5 + C6</t>
        </is>
      </c>
      <c r="I16" s="32" t="n">
        <v>1200</v>
      </c>
      <c r="J16" s="31" t="inlineStr">
        <is>
          <t>B4 + C5</t>
        </is>
      </c>
      <c r="K16" s="32" t="n">
        <v>800</v>
      </c>
      <c r="L16" s="31" t="n"/>
      <c r="M16" s="30" t="n"/>
      <c r="N16" s="33">
        <f>SUM(G16,I16,K16,M16)</f>
        <v/>
      </c>
      <c r="O16" s="30" t="inlineStr">
        <is>
          <t>—</t>
        </is>
      </c>
      <c r="P16" s="34" t="inlineStr">
        <is>
          <t>Aprovada</t>
        </is>
      </c>
      <c r="Q16" s="35" t="inlineStr"/>
    </row>
    <row r="17" ht="15" customHeight="1" s="24">
      <c r="A17" s="28" t="n">
        <v>12</v>
      </c>
      <c r="B17" s="29" t="inlineStr">
        <is>
          <t>Corando sozinha</t>
        </is>
      </c>
      <c r="C17" s="30" t="inlineStr">
        <is>
          <t>Passiva</t>
        </is>
      </c>
      <c r="D17" s="31" t="inlineStr">
        <is>
          <t>Ambiente</t>
        </is>
      </c>
      <c r="E17" s="31" t="inlineStr">
        <is>
          <t>Aleatório e muito raro</t>
        </is>
      </c>
      <c r="F17" s="31" t="inlineStr">
        <is>
          <t>F3 + C1</t>
        </is>
      </c>
      <c r="G17" s="32" t="n">
        <v>600</v>
      </c>
      <c r="H17" s="31" t="inlineStr">
        <is>
          <t>B4 + C5 + D1</t>
        </is>
      </c>
      <c r="I17" s="32" t="n">
        <v>1800</v>
      </c>
      <c r="J17" s="31" t="inlineStr">
        <is>
          <t>B1 + C1</t>
        </is>
      </c>
      <c r="K17" s="32" t="n">
        <v>600</v>
      </c>
      <c r="L17" s="31" t="n"/>
      <c r="M17" s="30" t="n"/>
      <c r="N17" s="33">
        <f>SUM(G17,I17,K17,M17)</f>
        <v/>
      </c>
      <c r="O17" s="30" t="inlineStr">
        <is>
          <t>—</t>
        </is>
      </c>
      <c r="P17" s="34" t="inlineStr">
        <is>
          <t>Aprovada</t>
        </is>
      </c>
      <c r="Q17" s="35" t="inlineStr"/>
    </row>
    <row r="18" ht="15" customHeight="1" s="24">
      <c r="A18" s="28" t="n">
        <v>13</v>
      </c>
      <c r="B18" s="29" t="inlineStr">
        <is>
          <t>Falando sozinha em silêncio</t>
        </is>
      </c>
      <c r="C18" s="30" t="inlineStr">
        <is>
          <t>Passiva</t>
        </is>
      </c>
      <c r="D18" s="31" t="inlineStr">
        <is>
          <t>Ambiente</t>
        </is>
      </c>
      <c r="E18" s="31" t="inlineStr">
        <is>
          <t>Aleatório, sem voz</t>
        </is>
      </c>
      <c r="F18" s="31" t="inlineStr">
        <is>
          <t>B13 + V1</t>
        </is>
      </c>
      <c r="G18" s="32" t="n">
        <v>300</v>
      </c>
      <c r="H18" s="31" t="inlineStr">
        <is>
          <t>B13 + V5</t>
        </is>
      </c>
      <c r="I18" s="32" t="n">
        <v>150</v>
      </c>
      <c r="J18" s="31" t="inlineStr">
        <is>
          <t>B13 + V2</t>
        </is>
      </c>
      <c r="K18" s="32" t="n">
        <v>250</v>
      </c>
      <c r="L18" s="31" t="inlineStr">
        <is>
          <t>B13 + V3</t>
        </is>
      </c>
      <c r="M18" s="32" t="n">
        <v>300</v>
      </c>
      <c r="N18" s="33">
        <f>SUM(G18,I18,K18,M18)</f>
        <v/>
      </c>
      <c r="O18" s="30" t="inlineStr">
        <is>
          <t>—</t>
        </is>
      </c>
      <c r="P18" s="34" t="inlineStr">
        <is>
          <t>Aprovada</t>
        </is>
      </c>
      <c r="Q18" s="35" t="inlineStr"/>
    </row>
    <row r="19" ht="15" customHeight="1" s="24">
      <c r="A19" s="28" t="n">
        <v>14</v>
      </c>
      <c r="B19" s="29" t="inlineStr">
        <is>
          <t>Brilho da presilha</t>
        </is>
      </c>
      <c r="C19" s="30" t="inlineStr">
        <is>
          <t>Passiva</t>
        </is>
      </c>
      <c r="D19" s="31" t="inlineStr">
        <is>
          <t>Ambiente</t>
        </is>
      </c>
      <c r="E19" s="31" t="inlineStr">
        <is>
          <t>Quando a cabeça mexe ou aleatório</t>
        </is>
      </c>
      <c r="F19" s="31" t="inlineStr">
        <is>
          <t>B1 + C1 + H4 (brilho cruza a presilha)</t>
        </is>
      </c>
      <c r="G19" s="32" t="n">
        <v>900</v>
      </c>
      <c r="H19" s="31" t="n"/>
      <c r="I19" s="30" t="n"/>
      <c r="J19" s="31" t="n"/>
      <c r="K19" s="30" t="n"/>
      <c r="L19" s="31" t="n"/>
      <c r="M19" s="30" t="n"/>
      <c r="N19" s="33">
        <f>SUM(G19,I19,K19,M19)</f>
        <v/>
      </c>
      <c r="O19" s="30" t="inlineStr">
        <is>
          <t>—</t>
        </is>
      </c>
      <c r="P19" s="34" t="inlineStr">
        <is>
          <t>Aprovada</t>
        </is>
      </c>
      <c r="Q19" s="35" t="inlineStr"/>
    </row>
    <row r="20" ht="15" customHeight="1" s="24">
      <c r="A20" s="28" t="n">
        <v>15</v>
      </c>
      <c r="B20" s="29" t="inlineStr">
        <is>
          <t>Encarando</t>
        </is>
      </c>
      <c r="C20" s="30" t="inlineStr">
        <is>
          <t>Passiva</t>
        </is>
      </c>
      <c r="D20" s="31" t="inlineStr">
        <is>
          <t>Ambiente</t>
        </is>
      </c>
      <c r="E20" s="31" t="inlineStr">
        <is>
          <t>Mouse parado sobre ela por ~10 s</t>
        </is>
      </c>
      <c r="F20" s="31" t="inlineStr">
        <is>
          <t>B1 + C1 · olhar fixo na câmera (O1)</t>
        </is>
      </c>
      <c r="G20" s="32" t="n">
        <v>3000</v>
      </c>
      <c r="H20" s="31" t="inlineStr">
        <is>
          <t>B3 · piscada lenta</t>
        </is>
      </c>
      <c r="I20" s="32" t="n">
        <v>500</v>
      </c>
      <c r="J20" s="31" t="inlineStr">
        <is>
          <t>B1 + C10</t>
        </is>
      </c>
      <c r="K20" s="32" t="n">
        <v>1000</v>
      </c>
      <c r="L20" s="31" t="n"/>
      <c r="M20" s="30" t="n"/>
      <c r="N20" s="33">
        <f>SUM(G20,I20,K20,M20)</f>
        <v/>
      </c>
      <c r="O20" s="30" t="inlineStr">
        <is>
          <t>—</t>
        </is>
      </c>
      <c r="P20" s="34" t="inlineStr">
        <is>
          <t>Aprovada</t>
        </is>
      </c>
      <c r="Q20" s="35" t="inlineStr">
        <is>
          <t>Aprovada condicionada ao sinal A (retrato): mouse parado ≥10 s. Fora do código até o sinal existir.</t>
        </is>
      </c>
    </row>
    <row r="21" ht="15" customHeight="1" s="24">
      <c r="A21" s="28" t="n">
        <v>16</v>
      </c>
      <c r="B21" s="29" t="inlineStr">
        <is>
          <t>Soprando a franja</t>
        </is>
      </c>
      <c r="C21" s="30" t="inlineStr">
        <is>
          <t>Passiva</t>
        </is>
      </c>
      <c r="D21" s="31" t="inlineStr">
        <is>
          <t>Ambiente</t>
        </is>
      </c>
      <c r="E21" s="31" t="inlineStr">
        <is>
          <t>Tédio leve ou aleatório</t>
        </is>
      </c>
      <c r="F21" s="31" t="inlineStr">
        <is>
          <t>B13 + C1</t>
        </is>
      </c>
      <c r="G21" s="32" t="n">
        <v>800</v>
      </c>
      <c r="H21" s="31" t="inlineStr">
        <is>
          <t>B2 + V4 + H3 (franja balança)</t>
        </is>
      </c>
      <c r="I21" s="32" t="n">
        <v>700</v>
      </c>
      <c r="J21" s="31" t="inlineStr">
        <is>
          <t>B1 + C1</t>
        </is>
      </c>
      <c r="K21" s="32" t="n">
        <v>500</v>
      </c>
      <c r="L21" s="31" t="n"/>
      <c r="M21" s="30" t="n"/>
      <c r="N21" s="33">
        <f>SUM(G21,I21,K21,M21)</f>
        <v/>
      </c>
      <c r="O21" s="30" t="inlineStr">
        <is>
          <t>—</t>
        </is>
      </c>
      <c r="P21" s="34" t="inlineStr">
        <is>
          <t>Aprovada</t>
        </is>
      </c>
      <c r="Q21" s="35" t="inlineStr"/>
    </row>
    <row r="22" ht="15" customHeight="1" s="24">
      <c r="A22" s="28" t="n">
        <v>17</v>
      </c>
      <c r="B22" s="29" t="inlineStr">
        <is>
          <t>Bocejo</t>
        </is>
      </c>
      <c r="C22" s="30" t="inlineStr">
        <is>
          <t>Passiva</t>
        </is>
      </c>
      <c r="D22" s="31" t="inlineStr">
        <is>
          <t>Tédio e sono</t>
        </is>
      </c>
      <c r="E22" s="31" t="inlineStr">
        <is>
          <t>~2 min sem interação</t>
        </is>
      </c>
      <c r="F22" s="31" t="inlineStr">
        <is>
          <t>B14 + C1</t>
        </is>
      </c>
      <c r="G22" s="32" t="n">
        <v>800</v>
      </c>
      <c r="H22" s="31" t="inlineStr">
        <is>
          <t>B15 + C4 (bocejo)</t>
        </is>
      </c>
      <c r="I22" s="32" t="n">
        <v>1200</v>
      </c>
      <c r="J22" s="31" t="inlineStr">
        <is>
          <t>B14 + C1</t>
        </is>
      </c>
      <c r="K22" s="32" t="n">
        <v>600</v>
      </c>
      <c r="L22" s="31" t="inlineStr">
        <is>
          <t>B1 + C1</t>
        </is>
      </c>
      <c r="M22" s="32" t="n">
        <v>400</v>
      </c>
      <c r="N22" s="33">
        <f>SUM(G22,I22,K22,M22)</f>
        <v/>
      </c>
      <c r="O22" s="30" t="inlineStr">
        <is>
          <t>—</t>
        </is>
      </c>
      <c r="P22" s="34" t="inlineStr">
        <is>
          <t>Ajustar gatilho</t>
        </is>
      </c>
      <c r="Q22" s="35" t="inlineStr">
        <is>
          <t>10 min com Magui, Claude, música e jogo parados</t>
        </is>
      </c>
    </row>
    <row r="23" ht="15" customHeight="1" s="24">
      <c r="A23" s="28" t="n">
        <v>18</v>
      </c>
      <c r="B23" s="29" t="inlineStr">
        <is>
          <t>Cochilo</t>
        </is>
      </c>
      <c r="C23" s="30" t="inlineStr">
        <is>
          <t>Passiva</t>
        </is>
      </c>
      <c r="D23" s="31" t="inlineStr">
        <is>
          <t>Tédio e sono</t>
        </is>
      </c>
      <c r="E23" s="31" t="inlineStr">
        <is>
          <t>~5 min sem interação</t>
        </is>
      </c>
      <c r="F23" s="31" t="inlineStr">
        <is>
          <t>B14 + C1</t>
        </is>
      </c>
      <c r="G23" s="32" t="n">
        <v>1500</v>
      </c>
      <c r="H23" s="31" t="inlineStr">
        <is>
          <t>B15 + C1 + D3 (zz) · cabeça cai</t>
        </is>
      </c>
      <c r="I23" s="32" t="n">
        <v>3000</v>
      </c>
      <c r="J23" s="31" t="n"/>
      <c r="K23" s="30" t="n"/>
      <c r="L23" s="31" t="n"/>
      <c r="M23" s="30" t="n"/>
      <c r="N23" s="33">
        <f>SUM(G23,I23,K23,M23)</f>
        <v/>
      </c>
      <c r="O23" s="30" t="inlineStr">
        <is>
          <t>—</t>
        </is>
      </c>
      <c r="P23" s="34" t="inlineStr">
        <is>
          <t>Ajustar gatilho</t>
        </is>
      </c>
      <c r="Q23" s="35" t="inlineStr">
        <is>
          <t>mesmas condições do 17 por 25 min (fundo sleepy)</t>
        </is>
      </c>
    </row>
    <row r="24" ht="15" customHeight="1" s="24">
      <c r="A24" s="28" t="n">
        <v>19</v>
      </c>
      <c r="B24" s="29" t="inlineStr">
        <is>
          <t>Cabeça pesada</t>
        </is>
      </c>
      <c r="C24" s="30" t="inlineStr">
        <is>
          <t>Passiva</t>
        </is>
      </c>
      <c r="D24" s="31" t="inlineStr">
        <is>
          <t>Tédio e sono</t>
        </is>
      </c>
      <c r="E24" s="31" t="inlineStr">
        <is>
          <t>Sessão muito longa, de madrugada</t>
        </is>
      </c>
      <c r="F24" s="31" t="inlineStr">
        <is>
          <t>B14 + C1</t>
        </is>
      </c>
      <c r="G24" s="32" t="n">
        <v>1500</v>
      </c>
      <c r="H24" s="31" t="inlineStr">
        <is>
          <t>B15 + C1 · cabeça cai</t>
        </is>
      </c>
      <c r="I24" s="32" t="n">
        <v>500</v>
      </c>
      <c r="J24" s="31" t="inlineStr">
        <is>
          <t>B9 + C7 · desperta</t>
        </is>
      </c>
      <c r="K24" s="32" t="n">
        <v>400</v>
      </c>
      <c r="L24" s="31" t="inlineStr">
        <is>
          <t>B14 + C1</t>
        </is>
      </c>
      <c r="M24" s="32" t="n">
        <v>800</v>
      </c>
      <c r="N24" s="33">
        <f>SUM(G24,I24,K24,M24)</f>
        <v/>
      </c>
      <c r="O24" s="30" t="inlineStr">
        <is>
          <t>—</t>
        </is>
      </c>
      <c r="P24" s="34" t="inlineStr">
        <is>
          <t>Aprovada</t>
        </is>
      </c>
      <c r="Q24" s="35" t="inlineStr">
        <is>
          <t>nunca com jogo, Claude rodando ou música nota ≥1</t>
        </is>
      </c>
    </row>
    <row r="25" ht="15" customHeight="1" s="24">
      <c r="A25" s="28" t="n">
        <v>20</v>
      </c>
      <c r="B25" s="29" t="inlineStr">
        <is>
          <t>Acordando em sobressalto</t>
        </is>
      </c>
      <c r="C25" s="30" t="inlineStr">
        <is>
          <t>Ativa</t>
        </is>
      </c>
      <c r="D25" s="31" t="inlineStr">
        <is>
          <t>Tédio e sono</t>
        </is>
      </c>
      <c r="E25" s="31" t="inlineStr">
        <is>
          <t>Você volta enquanto ela cochilava</t>
        </is>
      </c>
      <c r="F25" s="31" t="inlineStr">
        <is>
          <t>B9 + C7 + D5</t>
        </is>
      </c>
      <c r="G25" s="32" t="n">
        <v>500</v>
      </c>
      <c r="H25" s="31" t="inlineStr">
        <is>
          <t>B2 + C9</t>
        </is>
      </c>
      <c r="I25" s="32" t="n">
        <v>500</v>
      </c>
      <c r="J25" s="31" t="inlineStr">
        <is>
          <t>B1 + C5</t>
        </is>
      </c>
      <c r="K25" s="32" t="n">
        <v>600</v>
      </c>
      <c r="L25" s="31" t="n"/>
      <c r="M25" s="30" t="n"/>
      <c r="N25" s="33">
        <f>SUM(G25,I25,K25,M25)</f>
        <v/>
      </c>
      <c r="O25" s="30" t="inlineStr">
        <is>
          <t>—</t>
        </is>
      </c>
      <c r="P25" s="34" t="inlineStr">
        <is>
          <t>Ajustar gatilho</t>
        </is>
      </c>
      <c r="Q25" s="35" t="inlineStr">
        <is>
          <t>estava no 18 e chega qualquer evento real; fura cota</t>
        </is>
      </c>
    </row>
    <row r="26" ht="15" customHeight="1" s="24">
      <c r="A26" s="28" t="n">
        <v>21</v>
      </c>
      <c r="B26" s="29" t="inlineStr">
        <is>
          <t>Fone em repouso</t>
        </is>
      </c>
      <c r="C26" s="30" t="inlineStr">
        <is>
          <t>Passiva</t>
        </is>
      </c>
      <c r="D26" s="31" t="inlineStr">
        <is>
          <t>Música</t>
        </is>
      </c>
      <c r="E26" s="31" t="inlineStr">
        <is>
          <t>Sem música tocando</t>
        </is>
      </c>
      <c r="F26" s="31" t="inlineStr">
        <is>
          <t>B1 + C1 + E3 (fone no pescoço)</t>
        </is>
      </c>
      <c r="G26" s="32" t="n">
        <v>3000</v>
      </c>
      <c r="H26" s="31" t="n"/>
      <c r="I26" s="30" t="n"/>
      <c r="J26" s="31" t="n"/>
      <c r="K26" s="30" t="n"/>
      <c r="L26" s="31" t="n"/>
      <c r="M26" s="30" t="n"/>
      <c r="N26" s="33">
        <f>SUM(G26,I26,K26,M26)</f>
        <v/>
      </c>
      <c r="O26" s="30" t="inlineStr">
        <is>
          <t>E3</t>
        </is>
      </c>
      <c r="P26" s="34" t="inlineStr">
        <is>
          <t>Aprovada</t>
        </is>
      </c>
      <c r="Q26" s="35" t="inlineStr"/>
    </row>
    <row r="27" ht="15" customHeight="1" s="24">
      <c r="A27" s="28" t="n">
        <v>22</v>
      </c>
      <c r="B27" s="29" t="inlineStr">
        <is>
          <t>Ajeitando o fone</t>
        </is>
      </c>
      <c r="C27" s="30" t="inlineStr">
        <is>
          <t>Passiva</t>
        </is>
      </c>
      <c r="D27" s="31" t="inlineStr">
        <is>
          <t>Música</t>
        </is>
      </c>
      <c r="E27" s="31" t="inlineStr">
        <is>
          <t>Música tocando, de tempos em tempos</t>
        </is>
      </c>
      <c r="F27" s="31" t="inlineStr">
        <is>
          <t>B5 + C5 + E2</t>
        </is>
      </c>
      <c r="G27" s="32" t="n">
        <v>900</v>
      </c>
      <c r="H27" s="31" t="inlineStr">
        <is>
          <t>B1 + E2 balança (ou P11 mão no fone)</t>
        </is>
      </c>
      <c r="I27" s="32" t="n">
        <v>500</v>
      </c>
      <c r="J27" s="31" t="n"/>
      <c r="K27" s="30" t="n"/>
      <c r="L27" s="31" t="n"/>
      <c r="M27" s="30" t="n"/>
      <c r="N27" s="33">
        <f>SUM(G27,I27,K27,M27)</f>
        <v/>
      </c>
      <c r="O27" s="30" t="inlineStr">
        <is>
          <t>P11 (opcional)</t>
        </is>
      </c>
      <c r="P27" s="34" t="inlineStr">
        <is>
          <t>Aprovada</t>
        </is>
      </c>
      <c r="Q27" s="35" t="inlineStr"/>
    </row>
    <row r="28" ht="15" customHeight="1" s="24">
      <c r="A28" s="28" t="n">
        <v>23</v>
      </c>
      <c r="B28" s="29" t="inlineStr">
        <is>
          <t>Cabeça no ritmo</t>
        </is>
      </c>
      <c r="C28" s="30" t="inlineStr">
        <is>
          <t>Passiva</t>
        </is>
      </c>
      <c r="D28" s="31" t="inlineStr">
        <is>
          <t>Música</t>
        </is>
      </c>
      <c r="E28" s="31" t="inlineStr">
        <is>
          <t>Qualquer música tocando</t>
        </is>
      </c>
      <c r="F28" s="31" t="inlineStr">
        <is>
          <t>B2 + C1 + E2 · balanço lento</t>
        </is>
      </c>
      <c r="G28" s="32" t="n">
        <v>1500</v>
      </c>
      <c r="H28" s="31" t="inlineStr">
        <is>
          <t>B1 + C5 + E2</t>
        </is>
      </c>
      <c r="I28" s="32" t="n">
        <v>1500</v>
      </c>
      <c r="J28" s="31" t="n"/>
      <c r="K28" s="30" t="n"/>
      <c r="L28" s="31" t="n"/>
      <c r="M28" s="30" t="n"/>
      <c r="N28" s="33">
        <f>SUM(G28,I28,K28,M28)</f>
        <v/>
      </c>
      <c r="O28" s="30" t="inlineStr">
        <is>
          <t>—</t>
        </is>
      </c>
      <c r="P28" s="34" t="inlineStr">
        <is>
          <t>Aprovada</t>
        </is>
      </c>
      <c r="Q28" s="35" t="inlineStr"/>
    </row>
    <row r="29" ht="15" customHeight="1" s="24">
      <c r="A29" s="28" t="n">
        <v>24</v>
      </c>
      <c r="B29" s="29" t="inlineStr">
        <is>
          <t>Colocando o fone</t>
        </is>
      </c>
      <c r="C29" s="30" t="inlineStr">
        <is>
          <t>Ativa</t>
        </is>
      </c>
      <c r="D29" s="31" t="inlineStr">
        <is>
          <t>Música</t>
        </is>
      </c>
      <c r="E29" s="31" t="inlineStr">
        <is>
          <t>Música começa a tocar</t>
        </is>
      </c>
      <c r="F29" s="31" t="inlineStr">
        <is>
          <t>F4 (Now playing)</t>
        </is>
      </c>
      <c r="G29" s="32" t="n">
        <v>600</v>
      </c>
      <c r="H29" s="31" t="inlineStr">
        <is>
          <t>B2 + C1 + E2 desce até a cabeça</t>
        </is>
      </c>
      <c r="I29" s="32" t="n">
        <v>400</v>
      </c>
      <c r="J29" s="31" t="inlineStr">
        <is>
          <t>B5 + C13 + D6 + E2 · cabeça no ritmo</t>
        </is>
      </c>
      <c r="K29" s="32" t="n">
        <v>2000</v>
      </c>
      <c r="L29" s="31" t="n"/>
      <c r="M29" s="30" t="n"/>
      <c r="N29" s="33">
        <f>SUM(G29,I29,K29,M29)</f>
        <v/>
      </c>
      <c r="O29" s="30" t="inlineStr">
        <is>
          <t>—</t>
        </is>
      </c>
      <c r="P29" s="34" t="inlineStr">
        <is>
          <t>Ajustar gatilho</t>
        </is>
      </c>
      <c r="Q29" s="35" t="inlineStr">
        <is>
          <t>música começa a tocar; cooldown 3 min</t>
        </is>
      </c>
    </row>
    <row r="30" ht="15" customHeight="1" s="24">
      <c r="A30" s="28" t="n">
        <v>25</v>
      </c>
      <c r="B30" s="29" t="inlineStr">
        <is>
          <t>Tirando o fone</t>
        </is>
      </c>
      <c r="C30" s="30" t="inlineStr">
        <is>
          <t>Ativa</t>
        </is>
      </c>
      <c r="D30" s="31" t="inlineStr">
        <is>
          <t>Música</t>
        </is>
      </c>
      <c r="E30" s="31" t="inlineStr">
        <is>
          <t>Música para ou ela vai falar com você</t>
        </is>
      </c>
      <c r="F30" s="31" t="inlineStr">
        <is>
          <t>B9 + C7 · E2 sai</t>
        </is>
      </c>
      <c r="G30" s="32" t="n">
        <v>500</v>
      </c>
      <c r="H30" s="31" t="inlineStr">
        <is>
          <t>B1 + C1</t>
        </is>
      </c>
      <c r="I30" s="32" t="n">
        <v>600</v>
      </c>
      <c r="J30" s="31" t="n"/>
      <c r="K30" s="30" t="n"/>
      <c r="L30" s="31" t="n"/>
      <c r="M30" s="30" t="n"/>
      <c r="N30" s="33">
        <f>SUM(G30,I30,K30,M30)</f>
        <v/>
      </c>
      <c r="O30" s="30" t="inlineStr">
        <is>
          <t>—</t>
        </is>
      </c>
      <c r="P30" s="34" t="inlineStr">
        <is>
          <t>Ajustar gatilho</t>
        </is>
      </c>
      <c r="Q30" s="35" t="inlineStr">
        <is>
          <t>Spotify tocando sim→não</t>
        </is>
      </c>
    </row>
    <row r="31" ht="23.85" customHeight="1" s="24">
      <c r="A31" s="28" t="n">
        <v>26</v>
      </c>
      <c r="B31" s="29" t="inlineStr">
        <is>
          <t>Refrão chegou</t>
        </is>
      </c>
      <c r="C31" s="30" t="inlineStr">
        <is>
          <t>Ativa</t>
        </is>
      </c>
      <c r="D31" s="31" t="inlineStr">
        <is>
          <t>Música</t>
        </is>
      </c>
      <c r="E31" s="31" t="inlineStr">
        <is>
          <t>Pico de volume ou refrão detectado</t>
        </is>
      </c>
      <c r="F31" s="31" t="inlineStr">
        <is>
          <t>B4 + C5 + E2</t>
        </is>
      </c>
      <c r="G31" s="32" t="n">
        <v>500</v>
      </c>
      <c r="H31" s="31" t="inlineStr">
        <is>
          <t>B5 + C6 + D9 + D6 · cabeça balança forte</t>
        </is>
      </c>
      <c r="I31" s="32" t="n">
        <v>2500</v>
      </c>
      <c r="J31" s="31" t="n"/>
      <c r="K31" s="30" t="n"/>
      <c r="L31" s="31" t="n"/>
      <c r="M31" s="30" t="n"/>
      <c r="N31" s="33">
        <f>SUM(G31,I31,K31,M31)</f>
        <v/>
      </c>
      <c r="O31" s="30" t="inlineStr">
        <is>
          <t>—</t>
        </is>
      </c>
      <c r="P31" s="34" t="inlineStr">
        <is>
          <t>Ajustar gatilho</t>
        </is>
      </c>
      <c r="Q31" s="35" t="inlineStr">
        <is>
          <t>nota 2 passa de 60 s sem pulo, 1×/faixa; sem texto de 'refrão'; pico RMS vira variante condicionada</t>
        </is>
      </c>
    </row>
    <row r="32" ht="15" customHeight="1" s="24">
      <c r="A32" s="28" t="n">
        <v>27</v>
      </c>
      <c r="B32" s="29" t="inlineStr">
        <is>
          <t>Cantando junto</t>
        </is>
      </c>
      <c r="C32" s="30" t="inlineStr">
        <is>
          <t>Ativa</t>
        </is>
      </c>
      <c r="D32" s="31" t="inlineStr">
        <is>
          <t>Música</t>
        </is>
      </c>
      <c r="E32" s="31" t="inlineStr">
        <is>
          <t>Música que ela conhece</t>
        </is>
      </c>
      <c r="F32" s="31" t="inlineStr">
        <is>
          <t>B5 + V1</t>
        </is>
      </c>
      <c r="G32" s="32" t="n">
        <v>400</v>
      </c>
      <c r="H32" s="31" t="inlineStr">
        <is>
          <t>B5 + V2</t>
        </is>
      </c>
      <c r="I32" s="32" t="n">
        <v>300</v>
      </c>
      <c r="J32" s="31" t="inlineStr">
        <is>
          <t>B5 + V3</t>
        </is>
      </c>
      <c r="K32" s="32" t="n">
        <v>400</v>
      </c>
      <c r="L32" s="31" t="inlineStr">
        <is>
          <t>B4 + V5</t>
        </is>
      </c>
      <c r="M32" s="32" t="n">
        <v>300</v>
      </c>
      <c r="N32" s="33">
        <f>SUM(G32,I32,K32,M32)</f>
        <v/>
      </c>
      <c r="O32" s="30" t="inlineStr">
        <is>
          <t>—</t>
        </is>
      </c>
      <c r="P32" s="34" t="inlineStr">
        <is>
          <t>Ajustar gatilho</t>
        </is>
      </c>
      <c r="Q32" s="35" t="inlineStr">
        <is>
          <t>nota 2 ou ≥5 plays; após 40 s; 1×/faixa</t>
        </is>
      </c>
    </row>
    <row r="33" ht="15" customHeight="1" s="24">
      <c r="A33" s="28" t="n">
        <v>28</v>
      </c>
      <c r="B33" s="29" t="inlineStr">
        <is>
          <t>Música repetida</t>
        </is>
      </c>
      <c r="C33" s="30" t="inlineStr">
        <is>
          <t>Ativa</t>
        </is>
      </c>
      <c r="D33" s="31" t="inlineStr">
        <is>
          <t>Música</t>
        </is>
      </c>
      <c r="E33" s="31" t="inlineStr">
        <is>
          <t>Mesma faixa tocando pela 3ª vez</t>
        </is>
      </c>
      <c r="F33" s="31" t="inlineStr">
        <is>
          <t>B7 + C12</t>
        </is>
      </c>
      <c r="G33" s="32" t="n">
        <v>1000</v>
      </c>
      <c r="H33" s="31" t="inlineStr">
        <is>
          <t>F7 + C11</t>
        </is>
      </c>
      <c r="I33" s="32" t="n">
        <v>1200</v>
      </c>
      <c r="J33" s="31" t="n"/>
      <c r="K33" s="30" t="n"/>
      <c r="L33" s="31" t="n"/>
      <c r="M33" s="30" t="n"/>
      <c r="N33" s="33">
        <f>SUM(G33,I33,K33,M33)</f>
        <v/>
      </c>
      <c r="O33" s="30" t="inlineStr">
        <is>
          <t>—</t>
        </is>
      </c>
      <c r="P33" s="34" t="inlineStr">
        <is>
          <t>Ajustar gatilho</t>
        </is>
      </c>
      <c r="Q33" s="35" t="inlineStr">
        <is>
          <t>3ª vez da faixa no dia; Ado variante happy, nunca perde</t>
        </is>
      </c>
    </row>
    <row r="34" ht="15" customHeight="1" s="24">
      <c r="A34" s="28" t="n">
        <v>29</v>
      </c>
      <c r="B34" s="29" t="inlineStr">
        <is>
          <t>Música triste</t>
        </is>
      </c>
      <c r="C34" s="30" t="inlineStr">
        <is>
          <t>Ativa</t>
        </is>
      </c>
      <c r="D34" s="31" t="inlineStr">
        <is>
          <t>Música</t>
        </is>
      </c>
      <c r="E34" s="31" t="inlineStr">
        <is>
          <t>Faixa lenta ou melancólica</t>
        </is>
      </c>
      <c r="F34" s="31" t="inlineStr">
        <is>
          <t>B10 + C9 + E2</t>
        </is>
      </c>
      <c r="G34" s="32" t="n">
        <v>1200</v>
      </c>
      <c r="H34" s="31" t="inlineStr">
        <is>
          <t>F7 + C1 + D7 (lágrima)</t>
        </is>
      </c>
      <c r="I34" s="32" t="n">
        <v>2500</v>
      </c>
      <c r="J34" s="31" t="n"/>
      <c r="K34" s="30" t="n"/>
      <c r="L34" s="31" t="n"/>
      <c r="M34" s="30" t="n"/>
      <c r="N34" s="33">
        <f>SUM(G34,I34,K34,M34)</f>
        <v/>
      </c>
      <c r="O34" s="30" t="inlineStr">
        <is>
          <t>—</t>
        </is>
      </c>
      <c r="P34" s="34" t="inlineStr">
        <is>
          <t>Ajustar gatilho</t>
        </is>
      </c>
      <c r="Q34" s="35" t="inlineStr">
        <is>
          <t>lista melancolica/título (nocturne, requiem, sad…); D7 só 22h–04h, ≤1/dia</t>
        </is>
      </c>
    </row>
    <row r="35" ht="15" customHeight="1" s="24">
      <c r="A35" s="28" t="n">
        <v>30</v>
      </c>
      <c r="B35" s="29" t="inlineStr">
        <is>
          <t>Música dançante</t>
        </is>
      </c>
      <c r="C35" s="30" t="inlineStr">
        <is>
          <t>Ativa</t>
        </is>
      </c>
      <c r="D35" s="31" t="inlineStr">
        <is>
          <t>Música</t>
        </is>
      </c>
      <c r="E35" s="31" t="inlineStr">
        <is>
          <t>Faixa agitada</t>
        </is>
      </c>
      <c r="F35" s="31" t="inlineStr">
        <is>
          <t>B4 + C10 + E2 · corpo balança</t>
        </is>
      </c>
      <c r="G35" s="32" t="n">
        <v>1500</v>
      </c>
      <c r="H35" s="31" t="inlineStr">
        <is>
          <t>B5 + C6 + D6 · chiquinhas balançam</t>
        </is>
      </c>
      <c r="I35" s="32" t="n">
        <v>2000</v>
      </c>
      <c r="J35" s="31" t="n"/>
      <c r="K35" s="30" t="n"/>
      <c r="L35" s="31" t="n"/>
      <c r="M35" s="30" t="n"/>
      <c r="N35" s="33">
        <f>SUM(G35,I35,K35,M35)</f>
        <v/>
      </c>
      <c r="O35" s="30" t="inlineStr">
        <is>
          <t>—</t>
        </is>
      </c>
      <c r="P35" s="34" t="inlineStr">
        <is>
          <t>Ajustar gatilho</t>
        </is>
      </c>
      <c r="Q35" s="35" t="inlineStr">
        <is>
          <t>gênero da lista danca do toml, nota ≥1</t>
        </is>
      </c>
    </row>
    <row r="36" ht="15" customHeight="1" s="24">
      <c r="A36" s="28" t="n">
        <v>31</v>
      </c>
      <c r="B36" s="29" t="inlineStr">
        <is>
          <t>Volume alto demais</t>
        </is>
      </c>
      <c r="C36" s="30" t="inlineStr">
        <is>
          <t>Ativa</t>
        </is>
      </c>
      <c r="D36" s="31" t="inlineStr">
        <is>
          <t>Música</t>
        </is>
      </c>
      <c r="E36" s="31" t="inlineStr">
        <is>
          <t>Volume sobe de repente</t>
        </is>
      </c>
      <c r="F36" s="31" t="inlineStr">
        <is>
          <t>B9 + C4 + D2 · E2 sai</t>
        </is>
      </c>
      <c r="G36" s="32" t="n">
        <v>600</v>
      </c>
      <c r="H36" s="31" t="inlineStr">
        <is>
          <t>B7 + C9</t>
        </is>
      </c>
      <c r="I36" s="32" t="n">
        <v>700</v>
      </c>
      <c r="J36" s="31" t="n"/>
      <c r="K36" s="30" t="n"/>
      <c r="L36" s="31" t="n"/>
      <c r="M36" s="30" t="n"/>
      <c r="N36" s="33">
        <f>SUM(G36,I36,K36,M36)</f>
        <v/>
      </c>
      <c r="O36" s="30" t="inlineStr">
        <is>
          <t>—</t>
        </is>
      </c>
      <c r="P36" s="34" t="inlineStr">
        <is>
          <t>Aprovada</t>
        </is>
      </c>
      <c r="Q36" s="35" t="inlineStr">
        <is>
          <t>Aprovada condicionada ao sinal D (volume PipeWire): salto ≥20 pp em ≤2 s. Fora do código até o sinal existir.</t>
        </is>
      </c>
    </row>
    <row r="37" ht="15" customHeight="1" s="24">
      <c r="A37" s="28" t="n">
        <v>32</v>
      </c>
      <c r="B37" s="29" t="inlineStr">
        <is>
          <t>Fim do álbum</t>
        </is>
      </c>
      <c r="C37" s="30" t="inlineStr">
        <is>
          <t>Ativa</t>
        </is>
      </c>
      <c r="D37" s="31" t="inlineStr">
        <is>
          <t>Música</t>
        </is>
      </c>
      <c r="E37" s="31" t="inlineStr">
        <is>
          <t>Playlist ou álbum termina</t>
        </is>
      </c>
      <c r="F37" s="31" t="inlineStr">
        <is>
          <t>B5 + C5 + E2</t>
        </is>
      </c>
      <c r="G37" s="32" t="n">
        <v>1200</v>
      </c>
      <c r="H37" s="31" t="inlineStr">
        <is>
          <t>B2 + C1 · sentindo falta</t>
        </is>
      </c>
      <c r="I37" s="32" t="n">
        <v>1000</v>
      </c>
      <c r="J37" s="31" t="inlineStr">
        <is>
          <t>B1 + C1 · E2 sai</t>
        </is>
      </c>
      <c r="K37" s="32" t="n">
        <v>800</v>
      </c>
      <c r="L37" s="31" t="n"/>
      <c r="M37" s="30" t="n"/>
      <c r="N37" s="33">
        <f>SUM(G37,I37,K37,M37)</f>
        <v/>
      </c>
      <c r="O37" s="30" t="inlineStr">
        <is>
          <t>—</t>
        </is>
      </c>
      <c r="P37" s="34" t="inlineStr">
        <is>
          <t>Ajustar gatilho</t>
        </is>
      </c>
      <c r="Q37" s="35" t="inlineStr">
        <is>
          <t>renomear 'Acabou a fila': parou no fim e nada começou em 10 s</t>
        </is>
      </c>
    </row>
    <row r="38" ht="15" customHeight="1" s="24">
      <c r="A38" s="28" t="n">
        <v>33</v>
      </c>
      <c r="B38" s="29" t="inlineStr">
        <is>
          <t>Descobriu música que amou</t>
        </is>
      </c>
      <c r="C38" s="30" t="inlineStr">
        <is>
          <t>Ativa</t>
        </is>
      </c>
      <c r="D38" s="31" t="inlineStr">
        <is>
          <t>Música</t>
        </is>
      </c>
      <c r="E38" s="31" t="inlineStr">
        <is>
          <t>Artista novo com nota alta</t>
        </is>
      </c>
      <c r="F38" s="31" t="inlineStr">
        <is>
          <t>B13 + C7</t>
        </is>
      </c>
      <c r="G38" s="32" t="n">
        <v>800</v>
      </c>
      <c r="H38" s="31" t="inlineStr">
        <is>
          <t>B9 + C7 + D5</t>
        </is>
      </c>
      <c r="I38" s="32" t="n">
        <v>500</v>
      </c>
      <c r="J38" s="31" t="inlineStr">
        <is>
          <t>B5 + C13 + D9 + D6</t>
        </is>
      </c>
      <c r="K38" s="32" t="n">
        <v>2500</v>
      </c>
      <c r="L38" s="31" t="n"/>
      <c r="M38" s="30" t="n"/>
      <c r="N38" s="33">
        <f>SUM(G38,I38,K38,M38)</f>
        <v/>
      </c>
      <c r="O38" s="30" t="inlineStr">
        <is>
          <t>—</t>
        </is>
      </c>
      <c r="P38" s="34" t="inlineStr">
        <is>
          <t>Ajustar gatilho</t>
        </is>
      </c>
      <c r="Q38" s="35" t="inlineStr">
        <is>
          <t>artista sem play anterior e nota ≥1 (variante de music_new)</t>
        </is>
      </c>
    </row>
    <row r="39" ht="15" customHeight="1" s="24">
      <c r="A39" s="28" t="n">
        <v>34</v>
      </c>
      <c r="B39" s="29" t="inlineStr">
        <is>
          <t>Temperatura escalando</t>
        </is>
      </c>
      <c r="C39" s="30" t="inlineStr">
        <is>
          <t>Ativa</t>
        </is>
      </c>
      <c r="D39" s="31" t="inlineStr">
        <is>
          <t>Sistema</t>
        </is>
      </c>
      <c r="E39" s="31" t="inlineStr">
        <is>
          <t>CPU/GPU esquentando</t>
        </is>
      </c>
      <c r="F39" s="31" t="inlineStr">
        <is>
          <t>F1 + C8 + D2</t>
        </is>
      </c>
      <c r="G39" s="32" t="n">
        <v>3000</v>
      </c>
      <c r="H39" s="31" t="inlineStr">
        <is>
          <t>B9 + C7 + D5 + D2</t>
        </is>
      </c>
      <c r="I39" s="32" t="n">
        <v>1500</v>
      </c>
      <c r="J39" s="31" t="n"/>
      <c r="K39" s="30" t="n"/>
      <c r="L39" s="31" t="n"/>
      <c r="M39" s="30" t="n"/>
      <c r="N39" s="33">
        <f>SUM(G39,I39,K39,M39)</f>
        <v/>
      </c>
      <c r="O39" s="30" t="inlineStr">
        <is>
          <t>—</t>
        </is>
      </c>
      <c r="P39" s="34" t="inlineStr">
        <is>
          <t>Aprovada</t>
        </is>
      </c>
      <c r="Q39" s="35" t="inlineStr">
        <is>
          <t>rosto do `hot` existente (variante)</t>
        </is>
      </c>
    </row>
    <row r="40" ht="15" customHeight="1" s="24">
      <c r="A40" s="28" t="n">
        <v>35</v>
      </c>
      <c r="B40" s="29" t="inlineStr">
        <is>
          <t>Alívio térmico</t>
        </is>
      </c>
      <c r="C40" s="30" t="inlineStr">
        <is>
          <t>Ativa</t>
        </is>
      </c>
      <c r="D40" s="31" t="inlineStr">
        <is>
          <t>Sistema</t>
        </is>
      </c>
      <c r="E40" s="31" t="inlineStr">
        <is>
          <t>Temperatura volta ao normal</t>
        </is>
      </c>
      <c r="F40" s="31" t="inlineStr">
        <is>
          <t>B3 + C4 · suspiro (D2 some)</t>
        </is>
      </c>
      <c r="G40" s="32" t="n">
        <v>900</v>
      </c>
      <c r="H40" s="31" t="inlineStr">
        <is>
          <t>B4 + C5</t>
        </is>
      </c>
      <c r="I40" s="32" t="n">
        <v>1500</v>
      </c>
      <c r="J40" s="31" t="n"/>
      <c r="K40" s="30" t="n"/>
      <c r="L40" s="31" t="n"/>
      <c r="M40" s="30" t="n"/>
      <c r="N40" s="33">
        <f>SUM(G40,I40,K40,M40)</f>
        <v/>
      </c>
      <c r="O40" s="30" t="inlineStr">
        <is>
          <t>—</t>
        </is>
      </c>
      <c r="P40" s="34" t="inlineStr">
        <is>
          <t>Aprovada</t>
        </is>
      </c>
      <c r="Q40" s="35" t="inlineStr">
        <is>
          <t>variante do `hot`; histerese</t>
        </is>
      </c>
    </row>
    <row r="41" ht="15" customHeight="1" s="24">
      <c r="A41" s="28" t="n">
        <v>36</v>
      </c>
      <c r="B41" s="29" t="inlineStr">
        <is>
          <t>FPS despencando</t>
        </is>
      </c>
      <c r="C41" s="30" t="inlineStr">
        <is>
          <t>Ativa</t>
        </is>
      </c>
      <c r="D41" s="31" t="inlineStr">
        <is>
          <t>Sistema</t>
        </is>
      </c>
      <c r="E41" s="31" t="inlineStr">
        <is>
          <t>FPS abaixo do limite por alguns segundos</t>
        </is>
      </c>
      <c r="F41" s="31" t="inlineStr">
        <is>
          <t>F3 + C11</t>
        </is>
      </c>
      <c r="G41" s="32" t="n">
        <v>1500</v>
      </c>
      <c r="H41" s="31" t="inlineStr">
        <is>
          <t>B6 + C8 + D2</t>
        </is>
      </c>
      <c r="I41" s="32" t="n">
        <v>1500</v>
      </c>
      <c r="J41" s="31" t="n"/>
      <c r="K41" s="30" t="n"/>
      <c r="L41" s="31" t="n"/>
      <c r="M41" s="30" t="n"/>
      <c r="N41" s="33">
        <f>SUM(G41,I41,K41,M41)</f>
        <v/>
      </c>
      <c r="O41" s="30" t="inlineStr">
        <is>
          <t>—</t>
        </is>
      </c>
      <c r="P41" s="34" t="inlineStr">
        <is>
          <t>Aprovada</t>
        </is>
      </c>
      <c r="Q41" s="35" t="inlineStr">
        <is>
          <t>rosto do `fps_drop`</t>
        </is>
      </c>
    </row>
    <row r="42" ht="15" customHeight="1" s="24">
      <c r="A42" s="28" t="n">
        <v>37</v>
      </c>
      <c r="B42" s="29" t="inlineStr">
        <is>
          <t>FPS recuperou</t>
        </is>
      </c>
      <c r="C42" s="30" t="inlineStr">
        <is>
          <t>Ativa</t>
        </is>
      </c>
      <c r="D42" s="31" t="inlineStr">
        <is>
          <t>Sistema</t>
        </is>
      </c>
      <c r="E42" s="31" t="inlineStr">
        <is>
          <t>FPS volta ao normal</t>
        </is>
      </c>
      <c r="F42" s="31" t="inlineStr">
        <is>
          <t>F3</t>
        </is>
      </c>
      <c r="G42" s="32" t="n">
        <v>500</v>
      </c>
      <c r="H42" s="31" t="inlineStr">
        <is>
          <t>B4 + C5</t>
        </is>
      </c>
      <c r="I42" s="32" t="n">
        <v>1500</v>
      </c>
      <c r="J42" s="31" t="n"/>
      <c r="K42" s="30" t="n"/>
      <c r="L42" s="31" t="n"/>
      <c r="M42" s="30" t="n"/>
      <c r="N42" s="33">
        <f>SUM(G42,I42,K42,M42)</f>
        <v/>
      </c>
      <c r="O42" s="30" t="inlineStr">
        <is>
          <t>—</t>
        </is>
      </c>
      <c r="P42" s="34" t="inlineStr">
        <is>
          <t>Aprovada</t>
        </is>
      </c>
      <c r="Q42" s="35" t="inlineStr">
        <is>
          <t>variante do `fps_drop`</t>
        </is>
      </c>
    </row>
    <row r="43" ht="15" customHeight="1" s="24">
      <c r="A43" s="28" t="n">
        <v>38</v>
      </c>
      <c r="B43" s="29" t="inlineStr">
        <is>
          <t>Rede caiu</t>
        </is>
      </c>
      <c r="C43" s="30" t="inlineStr">
        <is>
          <t>Ativa</t>
        </is>
      </c>
      <c r="D43" s="31" t="inlineStr">
        <is>
          <t>Sistema</t>
        </is>
      </c>
      <c r="E43" s="31" t="inlineStr">
        <is>
          <t>Perda de conexão</t>
        </is>
      </c>
      <c r="F43" s="31" t="inlineStr">
        <is>
          <t>F3 + C7</t>
        </is>
      </c>
      <c r="G43" s="32" t="n">
        <v>800</v>
      </c>
      <c r="H43" s="31" t="inlineStr">
        <is>
          <t>B10 + C9 + D4 (?)</t>
        </is>
      </c>
      <c r="I43" s="32" t="n">
        <v>2000</v>
      </c>
      <c r="J43" s="31" t="n"/>
      <c r="K43" s="30" t="n"/>
      <c r="L43" s="31" t="n"/>
      <c r="M43" s="30" t="n"/>
      <c r="N43" s="33">
        <f>SUM(G43,I43,K43,M43)</f>
        <v/>
      </c>
      <c r="O43" s="30" t="inlineStr">
        <is>
          <t>—</t>
        </is>
      </c>
      <c r="P43" s="34" t="inlineStr">
        <is>
          <t>Ajustar gatilho</t>
        </is>
      </c>
      <c r="Q43" s="35" t="inlineStr">
        <is>
          <t>sem IP/rota padrão por ≥10 s</t>
        </is>
      </c>
    </row>
    <row r="44" ht="15" customHeight="1" s="24">
      <c r="A44" s="28" t="n">
        <v>39</v>
      </c>
      <c r="B44" s="29" t="inlineStr">
        <is>
          <t>Rede voltou</t>
        </is>
      </c>
      <c r="C44" s="30" t="inlineStr">
        <is>
          <t>Ativa</t>
        </is>
      </c>
      <c r="D44" s="31" t="inlineStr">
        <is>
          <t>Sistema</t>
        </is>
      </c>
      <c r="E44" s="31" t="inlineStr">
        <is>
          <t>Conexão restabelecida</t>
        </is>
      </c>
      <c r="F44" s="31" t="inlineStr">
        <is>
          <t>B9 + C7</t>
        </is>
      </c>
      <c r="G44" s="32" t="n">
        <v>400</v>
      </c>
      <c r="H44" s="31" t="inlineStr">
        <is>
          <t>B4 + C5</t>
        </is>
      </c>
      <c r="I44" s="32" t="n">
        <v>1500</v>
      </c>
      <c r="J44" s="31" t="n"/>
      <c r="K44" s="30" t="n"/>
      <c r="L44" s="31" t="n"/>
      <c r="M44" s="30" t="n"/>
      <c r="N44" s="33">
        <f>SUM(G44,I44,K44,M44)</f>
        <v/>
      </c>
      <c r="O44" s="30" t="inlineStr">
        <is>
          <t>—</t>
        </is>
      </c>
      <c r="P44" s="34" t="inlineStr">
        <is>
          <t>Aprovada</t>
        </is>
      </c>
      <c r="Q44" s="35" t="inlineStr"/>
    </row>
    <row r="45" ht="15" customHeight="1" s="24">
      <c r="A45" s="28" t="n">
        <v>40</v>
      </c>
      <c r="B45" s="29" t="inlineStr">
        <is>
          <t>Download concluído</t>
        </is>
      </c>
      <c r="C45" s="30" t="inlineStr">
        <is>
          <t>Ativa</t>
        </is>
      </c>
      <c r="D45" s="31" t="inlineStr">
        <is>
          <t>Sistema</t>
        </is>
      </c>
      <c r="E45" s="31" t="inlineStr">
        <is>
          <t>Download termina</t>
        </is>
      </c>
      <c r="F45" s="31" t="inlineStr">
        <is>
          <t>F5 + C7</t>
        </is>
      </c>
      <c r="G45" s="32" t="n">
        <v>600</v>
      </c>
      <c r="H45" s="31" t="inlineStr">
        <is>
          <t>B4 + C10</t>
        </is>
      </c>
      <c r="I45" s="32" t="n">
        <v>1500</v>
      </c>
      <c r="J45" s="31" t="n"/>
      <c r="K45" s="30" t="n"/>
      <c r="L45" s="31" t="n"/>
      <c r="M45" s="30" t="n"/>
      <c r="N45" s="33">
        <f>SUM(G45,I45,K45,M45)</f>
        <v/>
      </c>
      <c r="O45" s="30" t="inlineStr">
        <is>
          <t>—</t>
        </is>
      </c>
      <c r="P45" s="34" t="inlineStr">
        <is>
          <t>Ajustar gatilho</t>
        </is>
      </c>
      <c r="Q45" s="35" t="inlineStr">
        <is>
          <t>renomear 'Transferência pesada acabou': ↓≥5 MB/s por 60 s e depois &lt;100 kB/s; só rosto</t>
        </is>
      </c>
    </row>
    <row r="46" ht="15" customHeight="1" s="24">
      <c r="A46" s="28" t="n">
        <v>41</v>
      </c>
      <c r="B46" s="29" t="inlineStr">
        <is>
          <t>Disco quase cheio</t>
        </is>
      </c>
      <c r="C46" s="30" t="inlineStr">
        <is>
          <t>Ativa</t>
        </is>
      </c>
      <c r="D46" s="31" t="inlineStr">
        <is>
          <t>Sistema</t>
        </is>
      </c>
      <c r="E46" s="31" t="inlineStr">
        <is>
          <t>SSD acima de um limite de uso</t>
        </is>
      </c>
      <c r="F46" s="31" t="inlineStr">
        <is>
          <t>F3 + C11 + D2</t>
        </is>
      </c>
      <c r="G46" s="32" t="n">
        <v>1500</v>
      </c>
      <c r="H46" s="31" t="inlineStr">
        <is>
          <t>B10 + C8</t>
        </is>
      </c>
      <c r="I46" s="32" t="n">
        <v>2000</v>
      </c>
      <c r="J46" s="31" t="n"/>
      <c r="K46" s="30" t="n"/>
      <c r="L46" s="31" t="n"/>
      <c r="M46" s="30" t="n"/>
      <c r="N46" s="33">
        <f>SUM(G46,I46,K46,M46)</f>
        <v/>
      </c>
      <c r="O46" s="30" t="inlineStr">
        <is>
          <t>—</t>
        </is>
      </c>
      <c r="P46" s="34" t="inlineStr">
        <is>
          <t>Aprovada</t>
        </is>
      </c>
      <c r="Q46" s="35" t="inlineStr"/>
    </row>
    <row r="47" ht="15" customHeight="1" s="24">
      <c r="A47" s="28" t="n">
        <v>42</v>
      </c>
      <c r="B47" s="29" t="inlineStr">
        <is>
          <t>Faxina do SSD em andamento</t>
        </is>
      </c>
      <c r="C47" s="30" t="inlineStr">
        <is>
          <t>Ativa</t>
        </is>
      </c>
      <c r="D47" s="31" t="inlineStr">
        <is>
          <t>Sistema</t>
        </is>
      </c>
      <c r="E47" s="31" t="inlineStr">
        <is>
          <t>Limpeza do SSD rodando</t>
        </is>
      </c>
      <c r="F47" s="31" t="inlineStr">
        <is>
          <t>B6 + C8 + F7</t>
        </is>
      </c>
      <c r="G47" s="32" t="n">
        <v>2500</v>
      </c>
      <c r="H47" s="31" t="inlineStr">
        <is>
          <t>B13 + C1</t>
        </is>
      </c>
      <c r="I47" s="32" t="n">
        <v>1500</v>
      </c>
      <c r="J47" s="31" t="n"/>
      <c r="K47" s="30" t="n"/>
      <c r="L47" s="31" t="n"/>
      <c r="M47" s="30" t="n"/>
      <c r="N47" s="33">
        <f>SUM(G47,I47,K47,M47)</f>
        <v/>
      </c>
      <c r="O47" s="30" t="inlineStr">
        <is>
          <t>—</t>
        </is>
      </c>
      <c r="P47" s="34" t="inlineStr">
        <is>
          <t>Aprovada</t>
        </is>
      </c>
      <c r="Q47" s="35" t="inlineStr">
        <is>
          <t>rosto do `cleanup`</t>
        </is>
      </c>
    </row>
    <row r="48" ht="15" customHeight="1" s="24">
      <c r="A48" s="28" t="n">
        <v>43</v>
      </c>
      <c r="B48" s="29" t="inlineStr">
        <is>
          <t>Ventoinha alta</t>
        </is>
      </c>
      <c r="C48" s="30" t="inlineStr">
        <is>
          <t>Ativa</t>
        </is>
      </c>
      <c r="D48" s="31" t="inlineStr">
        <is>
          <t>Sistema</t>
        </is>
      </c>
      <c r="E48" s="31" t="inlineStr">
        <is>
          <t>Rotação da ventoinha sobe</t>
        </is>
      </c>
      <c r="F48" s="31" t="inlineStr">
        <is>
          <t>B7 + C9</t>
        </is>
      </c>
      <c r="G48" s="32" t="n">
        <v>1200</v>
      </c>
      <c r="H48" s="31" t="inlineStr">
        <is>
          <t>F1 + C12 + D2</t>
        </is>
      </c>
      <c r="I48" s="32" t="n">
        <v>1500</v>
      </c>
      <c r="J48" s="31" t="n"/>
      <c r="K48" s="30" t="n"/>
      <c r="L48" s="31" t="n"/>
      <c r="M48" s="30" t="n"/>
      <c r="N48" s="33">
        <f>SUM(G48,I48,K48,M48)</f>
        <v/>
      </c>
      <c r="O48" s="30" t="inlineStr">
        <is>
          <t>—</t>
        </is>
      </c>
      <c r="P48" s="34" t="inlineStr">
        <is>
          <t>Aprovada</t>
        </is>
      </c>
      <c r="Q48" s="35" t="inlineStr">
        <is>
          <t>Aprovada condicionada ao sinal fan*_input do hwmon: subida ≥30%. Fora do código até o sinal existir.</t>
        </is>
      </c>
    </row>
    <row r="49" ht="15" customHeight="1" s="24">
      <c r="A49" s="28" t="n">
        <v>44</v>
      </c>
      <c r="B49" s="29" t="inlineStr">
        <is>
          <t>Jogo abriu</t>
        </is>
      </c>
      <c r="C49" s="30" t="inlineStr">
        <is>
          <t>Ativa</t>
        </is>
      </c>
      <c r="D49" s="31" t="inlineStr">
        <is>
          <t>Sistema</t>
        </is>
      </c>
      <c r="E49" s="31" t="inlineStr">
        <is>
          <t>Jogo detectado em execução</t>
        </is>
      </c>
      <c r="F49" s="31" t="inlineStr">
        <is>
          <t>B4 + C10</t>
        </is>
      </c>
      <c r="G49" s="32" t="n">
        <v>800</v>
      </c>
      <c r="H49" s="31" t="inlineStr">
        <is>
          <t>B6 + C8 · modo jogo</t>
        </is>
      </c>
      <c r="I49" s="32" t="n">
        <v>2000</v>
      </c>
      <c r="J49" s="31" t="n"/>
      <c r="K49" s="30" t="n"/>
      <c r="L49" s="31" t="n"/>
      <c r="M49" s="30" t="n"/>
      <c r="N49" s="33">
        <f>SUM(G49,I49,K49,M49)</f>
        <v/>
      </c>
      <c r="O49" s="30" t="inlineStr">
        <is>
          <t>—</t>
        </is>
      </c>
      <c r="P49" s="34" t="inlineStr">
        <is>
          <t>Aprovada</t>
        </is>
      </c>
      <c r="Q49" s="35" t="inlineStr">
        <is>
          <t>rosto do `game_on`</t>
        </is>
      </c>
    </row>
    <row r="50" ht="15" customHeight="1" s="24">
      <c r="A50" s="28" t="n">
        <v>45</v>
      </c>
      <c r="B50" s="29" t="inlineStr">
        <is>
          <t>Jogo fechou em paz</t>
        </is>
      </c>
      <c r="C50" s="30" t="inlineStr">
        <is>
          <t>Ativa</t>
        </is>
      </c>
      <c r="D50" s="31" t="inlineStr">
        <is>
          <t>Sistema</t>
        </is>
      </c>
      <c r="E50" s="31" t="inlineStr">
        <is>
          <t>Jogo fecha normalmente</t>
        </is>
      </c>
      <c r="F50" s="31" t="inlineStr">
        <is>
          <t>B2 + C5</t>
        </is>
      </c>
      <c r="G50" s="32" t="n">
        <v>1000</v>
      </c>
      <c r="H50" s="31" t="inlineStr">
        <is>
          <t>B4 + C5</t>
        </is>
      </c>
      <c r="I50" s="32" t="n">
        <v>1500</v>
      </c>
      <c r="J50" s="31" t="n"/>
      <c r="K50" s="30" t="n"/>
      <c r="L50" s="31" t="n"/>
      <c r="M50" s="30" t="n"/>
      <c r="N50" s="33">
        <f>SUM(G50,I50,K50,M50)</f>
        <v/>
      </c>
      <c r="O50" s="30" t="inlineStr">
        <is>
          <t>—</t>
        </is>
      </c>
      <c r="P50" s="34" t="inlineStr">
        <is>
          <t>Aprovada</t>
        </is>
      </c>
      <c r="Q50" s="35" t="inlineStr">
        <is>
          <t>rosto do `game_off`</t>
        </is>
      </c>
    </row>
    <row r="51" ht="15" customHeight="1" s="24">
      <c r="A51" s="28" t="n">
        <v>46</v>
      </c>
      <c r="B51" s="29" t="inlineStr">
        <is>
          <t>Notificação chegou</t>
        </is>
      </c>
      <c r="C51" s="30" t="inlineStr">
        <is>
          <t>Ativa</t>
        </is>
      </c>
      <c r="D51" s="31" t="inlineStr">
        <is>
          <t>Sistema</t>
        </is>
      </c>
      <c r="E51" s="31" t="inlineStr">
        <is>
          <t>Notificação do sistema</t>
        </is>
      </c>
      <c r="F51" s="31" t="inlineStr">
        <is>
          <t>F5 + C7</t>
        </is>
      </c>
      <c r="G51" s="32" t="n">
        <v>700</v>
      </c>
      <c r="H51" s="31" t="inlineStr">
        <is>
          <t>B1 + C1</t>
        </is>
      </c>
      <c r="I51" s="32" t="n">
        <v>600</v>
      </c>
      <c r="J51" s="31" t="n"/>
      <c r="K51" s="30" t="n"/>
      <c r="L51" s="31" t="n"/>
      <c r="M51" s="30" t="n"/>
      <c r="N51" s="33">
        <f>SUM(G51,I51,K51,M51)</f>
        <v/>
      </c>
      <c r="O51" s="30" t="inlineStr">
        <is>
          <t>—</t>
        </is>
      </c>
      <c r="P51" s="34" t="inlineStr">
        <is>
          <t>Aprovada</t>
        </is>
      </c>
      <c r="Q51" s="35" t="inlineStr">
        <is>
          <t>Aprovada condicionada ao sinal E (D-Bus Notifications): no máx. 1 a cada 10 min. Fora do código até o sinal existir.</t>
        </is>
      </c>
    </row>
    <row r="52" ht="15" customHeight="1" s="24">
      <c r="A52" s="28" t="n">
        <v>47</v>
      </c>
      <c r="B52" s="29" t="inlineStr">
        <is>
          <t>Popup de erro</t>
        </is>
      </c>
      <c r="C52" s="30" t="inlineStr">
        <is>
          <t>Ativa</t>
        </is>
      </c>
      <c r="D52" s="31" t="inlineStr">
        <is>
          <t>Sistema</t>
        </is>
      </c>
      <c r="E52" s="31" t="inlineStr">
        <is>
          <t>Janela de erro do sistema</t>
        </is>
      </c>
      <c r="F52" s="31" t="inlineStr">
        <is>
          <t>B9 + C7 + D5</t>
        </is>
      </c>
      <c r="G52" s="32" t="n">
        <v>600</v>
      </c>
      <c r="H52" s="31" t="inlineStr">
        <is>
          <t>B6 + C8 + D2</t>
        </is>
      </c>
      <c r="I52" s="32" t="n">
        <v>1500</v>
      </c>
      <c r="J52" s="31" t="n"/>
      <c r="K52" s="30" t="n"/>
      <c r="L52" s="31" t="n"/>
      <c r="M52" s="30" t="n"/>
      <c r="N52" s="33">
        <f>SUM(G52,I52,K52,M52)</f>
        <v/>
      </c>
      <c r="O52" s="30" t="inlineStr">
        <is>
          <t>—</t>
        </is>
      </c>
      <c r="P52" s="34" t="inlineStr">
        <is>
          <t>Aprovada</t>
        </is>
      </c>
      <c r="Q52" s="35" t="inlineStr">
        <is>
          <t>Aprovada condicionada ao sinal E (D-Bus Notifications): urgency=critical. Fora do código até o sinal existir.</t>
        </is>
      </c>
    </row>
    <row r="53" ht="15" customHeight="1" s="24">
      <c r="A53" s="28" t="n">
        <v>48</v>
      </c>
      <c r="B53" s="29" t="inlineStr">
        <is>
          <t>PC ligando</t>
        </is>
      </c>
      <c r="C53" s="30" t="inlineStr">
        <is>
          <t>Ativa</t>
        </is>
      </c>
      <c r="D53" s="31" t="inlineStr">
        <is>
          <t>Sistema</t>
        </is>
      </c>
      <c r="E53" s="31" t="inlineStr">
        <is>
          <t>Boot do PC</t>
        </is>
      </c>
      <c r="F53" s="31" t="inlineStr">
        <is>
          <t>B15 + C1</t>
        </is>
      </c>
      <c r="G53" s="32" t="n">
        <v>800</v>
      </c>
      <c r="H53" s="31" t="inlineStr">
        <is>
          <t>B2 + C1</t>
        </is>
      </c>
      <c r="I53" s="32" t="n">
        <v>600</v>
      </c>
      <c r="J53" s="31" t="inlineStr">
        <is>
          <t>B1 + C5</t>
        </is>
      </c>
      <c r="K53" s="32" t="n">
        <v>1200</v>
      </c>
      <c r="L53" s="31" t="n"/>
      <c r="M53" s="30" t="n"/>
      <c r="N53" s="33">
        <f>SUM(G53,I53,K53,M53)</f>
        <v/>
      </c>
      <c r="O53" s="30" t="inlineStr">
        <is>
          <t>—</t>
        </is>
      </c>
      <c r="P53" s="34" t="inlineStr">
        <is>
          <t>Ajustar gatilho</t>
        </is>
      </c>
      <c r="Q53" s="35" t="inlineStr">
        <is>
          <t>renomear 'HUD acordou': primeiro snapshot do HUD</t>
        </is>
      </c>
    </row>
    <row r="54" ht="15" customHeight="1" s="24">
      <c r="A54" s="28" t="n">
        <v>49</v>
      </c>
      <c r="B54" s="29" t="inlineStr">
        <is>
          <t>PC desligando</t>
        </is>
      </c>
      <c r="C54" s="30" t="inlineStr">
        <is>
          <t>Ativa</t>
        </is>
      </c>
      <c r="D54" s="31" t="inlineStr">
        <is>
          <t>Sistema</t>
        </is>
      </c>
      <c r="E54" s="31" t="inlineStr">
        <is>
          <t>Desligamento ou reinício</t>
        </is>
      </c>
      <c r="F54" s="31" t="inlineStr">
        <is>
          <t>B1 + C5</t>
        </is>
      </c>
      <c r="G54" s="32" t="n">
        <v>800</v>
      </c>
      <c r="H54" s="31" t="inlineStr">
        <is>
          <t>B14 + C1</t>
        </is>
      </c>
      <c r="I54" s="32" t="n">
        <v>700</v>
      </c>
      <c r="J54" s="31" t="inlineStr">
        <is>
          <t>B15 + C1</t>
        </is>
      </c>
      <c r="K54" s="32" t="n">
        <v>1200</v>
      </c>
      <c r="L54" s="31" t="n"/>
      <c r="M54" s="30" t="n"/>
      <c r="N54" s="33">
        <f>SUM(G54,I54,K54,M54)</f>
        <v/>
      </c>
      <c r="O54" s="30" t="inlineStr">
        <is>
          <t>—</t>
        </is>
      </c>
      <c r="P54" s="34" t="inlineStr">
        <is>
          <t>Substituir</t>
        </is>
      </c>
      <c r="Q54" s="35" t="inlineStr">
        <is>
          <t>HUD morre no desligamento → ideias 'Fim de expediente' e 'Boa noite'</t>
        </is>
      </c>
    </row>
    <row r="55" ht="15" customHeight="1" s="24">
      <c r="A55" s="28" t="n">
        <v>50</v>
      </c>
      <c r="B55" s="29" t="inlineStr">
        <is>
          <t>Atualização pedindo reinício</t>
        </is>
      </c>
      <c r="C55" s="30" t="inlineStr">
        <is>
          <t>Ativa</t>
        </is>
      </c>
      <c r="D55" s="31" t="inlineStr">
        <is>
          <t>Sistema</t>
        </is>
      </c>
      <c r="E55" s="31" t="inlineStr">
        <is>
          <t>Aviso de update que exige reinício</t>
        </is>
      </c>
      <c r="F55" s="31" t="inlineStr">
        <is>
          <t>B7 + C12</t>
        </is>
      </c>
      <c r="G55" s="32" t="n">
        <v>1200</v>
      </c>
      <c r="H55" s="31" t="inlineStr">
        <is>
          <t>F6 + C11</t>
        </is>
      </c>
      <c r="I55" s="32" t="n">
        <v>1200</v>
      </c>
      <c r="J55" s="31" t="n"/>
      <c r="K55" s="30" t="n"/>
      <c r="L55" s="31" t="n"/>
      <c r="M55" s="30" t="n"/>
      <c r="N55" s="33">
        <f>SUM(G55,I55,K55,M55)</f>
        <v/>
      </c>
      <c r="O55" s="30" t="inlineStr">
        <is>
          <t>—</t>
        </is>
      </c>
      <c r="P55" s="34" t="inlineStr">
        <is>
          <t>Aprovada</t>
        </is>
      </c>
      <c r="Q55" s="35" t="inlineStr">
        <is>
          <t>Aprovada condicionada ao sinal dnf needs-restarting -r a cada 6 h: retorna 1. Fora do código até o sinal existir.</t>
        </is>
      </c>
    </row>
    <row r="56" ht="15" customHeight="1" s="24">
      <c r="A56" s="28" t="n">
        <v>51</v>
      </c>
      <c r="B56" s="29" t="inlineStr">
        <is>
          <t>Posando pra print</t>
        </is>
      </c>
      <c r="C56" s="30" t="inlineStr">
        <is>
          <t>Ativa</t>
        </is>
      </c>
      <c r="D56" s="31" t="inlineStr">
        <is>
          <t>Sistema</t>
        </is>
      </c>
      <c r="E56" s="31" t="inlineStr">
        <is>
          <t>Print Screen</t>
        </is>
      </c>
      <c r="F56" s="31" t="inlineStr">
        <is>
          <t>B1 + C1</t>
        </is>
      </c>
      <c r="G56" s="32" t="n">
        <v>200</v>
      </c>
      <c r="H56" s="31" t="inlineStr">
        <is>
          <t>B4 + C5 + D9 · pose</t>
        </is>
      </c>
      <c r="I56" s="32" t="n">
        <v>1200</v>
      </c>
      <c r="J56" s="31" t="n"/>
      <c r="K56" s="30" t="n"/>
      <c r="L56" s="31" t="n"/>
      <c r="M56" s="30" t="n"/>
      <c r="N56" s="33">
        <f>SUM(G56,I56,K56,M56)</f>
        <v/>
      </c>
      <c r="O56" s="30" t="inlineStr">
        <is>
          <t>—</t>
        </is>
      </c>
      <c r="P56" s="34" t="inlineStr">
        <is>
          <t>Aprovada</t>
        </is>
      </c>
      <c r="Q56" s="35" t="inlineStr">
        <is>
          <t>Aprovada condicionada ao sinal inotify na pasta de capturas: arquivo novo. Fora do código até o sinal existir.</t>
        </is>
      </c>
    </row>
    <row r="57" ht="23.85" customHeight="1" s="24">
      <c r="A57" s="28" t="n">
        <v>52</v>
      </c>
      <c r="B57" s="29" t="inlineStr">
        <is>
          <t>Lendo (Claude Code trabalhando)</t>
        </is>
      </c>
      <c r="C57" s="30" t="inlineStr">
        <is>
          <t>Ativa</t>
        </is>
      </c>
      <c r="D57" s="31" t="inlineStr">
        <is>
          <t>Claude Code</t>
        </is>
      </c>
      <c r="E57" s="31" t="inlineStr">
        <is>
          <t>Claude Code em atividade</t>
        </is>
      </c>
      <c r="F57" s="31" t="inlineStr">
        <is>
          <t>F7 + C1</t>
        </is>
      </c>
      <c r="G57" s="32" t="n">
        <v>1500</v>
      </c>
      <c r="H57" s="31" t="inlineStr">
        <is>
          <t>F5 + C1</t>
        </is>
      </c>
      <c r="I57" s="32" t="n">
        <v>1500</v>
      </c>
      <c r="J57" s="31" t="n"/>
      <c r="K57" s="30" t="n"/>
      <c r="L57" s="31" t="n"/>
      <c r="M57" s="30" t="n"/>
      <c r="N57" s="33">
        <f>SUM(G57,I57,K57,M57)</f>
        <v/>
      </c>
      <c r="O57" s="30" t="inlineStr">
        <is>
          <t>—</t>
        </is>
      </c>
      <c r="P57" s="34" t="inlineStr">
        <is>
          <t>Aprovada</t>
        </is>
      </c>
      <c r="Q57" s="35" t="inlineStr"/>
    </row>
    <row r="58" ht="15" customHeight="1" s="24">
      <c r="A58" s="28" t="n">
        <v>53</v>
      </c>
      <c r="B58" s="29" t="inlineStr">
        <is>
          <t>Claude Code terminou</t>
        </is>
      </c>
      <c r="C58" s="30" t="inlineStr">
        <is>
          <t>Ativa</t>
        </is>
      </c>
      <c r="D58" s="31" t="inlineStr">
        <is>
          <t>Claude Code</t>
        </is>
      </c>
      <c r="E58" s="31" t="inlineStr">
        <is>
          <t>Tarefa concluída</t>
        </is>
      </c>
      <c r="F58" s="31" t="inlineStr">
        <is>
          <t>B4 + C10</t>
        </is>
      </c>
      <c r="G58" s="32" t="n">
        <v>1000</v>
      </c>
      <c r="H58" s="31" t="inlineStr">
        <is>
          <t>B5 + C5</t>
        </is>
      </c>
      <c r="I58" s="32" t="n">
        <v>1500</v>
      </c>
      <c r="J58" s="31" t="n"/>
      <c r="K58" s="30" t="n"/>
      <c r="L58" s="31" t="n"/>
      <c r="M58" s="30" t="n"/>
      <c r="N58" s="33">
        <f>SUM(G58,I58,K58,M58)</f>
        <v/>
      </c>
      <c r="O58" s="30" t="inlineStr">
        <is>
          <t>—</t>
        </is>
      </c>
      <c r="P58" s="34" t="inlineStr">
        <is>
          <t>Ajustar gatilho</t>
        </is>
      </c>
      <c r="Q58" s="35" t="inlineStr">
        <is>
          <t>Claude rodando→parado após ≥2 min; sem D9 e sem texto</t>
        </is>
      </c>
    </row>
    <row r="59" ht="15" customHeight="1" s="24">
      <c r="A59" s="28" t="n">
        <v>54</v>
      </c>
      <c r="B59" s="29" t="inlineStr">
        <is>
          <t>Claude Code com erro</t>
        </is>
      </c>
      <c r="C59" s="30" t="inlineStr">
        <is>
          <t>Ativa</t>
        </is>
      </c>
      <c r="D59" s="31" t="inlineStr">
        <is>
          <t>Claude Code</t>
        </is>
      </c>
      <c r="E59" s="31" t="inlineStr">
        <is>
          <t>Erro reportado</t>
        </is>
      </c>
      <c r="F59" s="31" t="inlineStr">
        <is>
          <t>B10 + C11</t>
        </is>
      </c>
      <c r="G59" s="32" t="n">
        <v>1000</v>
      </c>
      <c r="H59" s="31" t="inlineStr">
        <is>
          <t>B7 + C8 + F7</t>
        </is>
      </c>
      <c r="I59" s="32" t="n">
        <v>1800</v>
      </c>
      <c r="J59" s="31" t="n"/>
      <c r="K59" s="30" t="n"/>
      <c r="L59" s="31" t="n"/>
      <c r="M59" s="30" t="n"/>
      <c r="N59" s="33">
        <f>SUM(G59,I59,K59,M59)</f>
        <v/>
      </c>
      <c r="O59" s="30" t="inlineStr">
        <is>
          <t>—</t>
        </is>
      </c>
      <c r="P59" s="34" t="inlineStr">
        <is>
          <t>Aprovada</t>
        </is>
      </c>
      <c r="Q59" s="35" t="inlineStr">
        <is>
          <t>Aprovada condicionada ao sinal C (hook do Claude Code): falha. Fora do código até o sinal existir.</t>
        </is>
      </c>
    </row>
    <row r="60" ht="15" customHeight="1" s="24">
      <c r="A60" s="28" t="n">
        <v>55</v>
      </c>
      <c r="B60" s="29" t="inlineStr">
        <is>
          <t>Claude Code esperando você</t>
        </is>
      </c>
      <c r="C60" s="30" t="inlineStr">
        <is>
          <t>Ativa</t>
        </is>
      </c>
      <c r="D60" s="31" t="inlineStr">
        <is>
          <t>Claude Code</t>
        </is>
      </c>
      <c r="E60" s="31" t="inlineStr">
        <is>
          <t>Pede resposta ou aprovação</t>
        </is>
      </c>
      <c r="F60" s="31" t="inlineStr">
        <is>
          <t>F7 + C1</t>
        </is>
      </c>
      <c r="G60" s="32" t="n">
        <v>1000</v>
      </c>
      <c r="H60" s="31" t="inlineStr">
        <is>
          <t>B1 + C7 + D4 (?)</t>
        </is>
      </c>
      <c r="I60" s="32" t="n">
        <v>2000</v>
      </c>
      <c r="J60" s="31" t="n"/>
      <c r="K60" s="30" t="n"/>
      <c r="L60" s="31" t="n"/>
      <c r="M60" s="30" t="n"/>
      <c r="N60" s="33">
        <f>SUM(G60,I60,K60,M60)</f>
        <v/>
      </c>
      <c r="O60" s="30" t="inlineStr">
        <is>
          <t>—</t>
        </is>
      </c>
      <c r="P60" s="34" t="inlineStr">
        <is>
          <t>Aprovada</t>
        </is>
      </c>
      <c r="Q60" s="35" t="inlineStr">
        <is>
          <t>Aprovada condicionada ao sinal C (hook do Claude Code): Notification/pedido de aprovação. Fora do código até o sinal existir.</t>
        </is>
      </c>
    </row>
    <row r="61" ht="15" customHeight="1" s="24">
      <c r="A61" s="28" t="n">
        <v>56</v>
      </c>
      <c r="B61" s="29" t="inlineStr">
        <is>
          <t>Claude Code demorando</t>
        </is>
      </c>
      <c r="C61" s="30" t="inlineStr">
        <is>
          <t>Ativa</t>
        </is>
      </c>
      <c r="D61" s="31" t="inlineStr">
        <is>
          <t>Claude Code</t>
        </is>
      </c>
      <c r="E61" s="31" t="inlineStr">
        <is>
          <t>Tarefa passa de vários minutos</t>
        </is>
      </c>
      <c r="F61" s="31" t="inlineStr">
        <is>
          <t>B7 + C9</t>
        </is>
      </c>
      <c r="G61" s="32" t="n">
        <v>1500</v>
      </c>
      <c r="H61" s="31" t="inlineStr">
        <is>
          <t>B14 + C1</t>
        </is>
      </c>
      <c r="I61" s="32" t="n">
        <v>2500</v>
      </c>
      <c r="J61" s="31" t="n"/>
      <c r="K61" s="30" t="n"/>
      <c r="L61" s="31" t="n"/>
      <c r="M61" s="30" t="n"/>
      <c r="N61" s="33">
        <f>SUM(G61,I61,K61,M61)</f>
        <v/>
      </c>
      <c r="O61" s="30" t="inlineStr">
        <is>
          <t>—</t>
        </is>
      </c>
      <c r="P61" s="34" t="inlineStr">
        <is>
          <t>Ajustar gatilho</t>
        </is>
      </c>
      <c r="Q61" s="35" t="inlineStr">
        <is>
          <t>Claude rodando contínuo ≥15 min</t>
        </is>
      </c>
    </row>
    <row r="62" ht="15" customHeight="1" s="24">
      <c r="A62" s="28" t="n">
        <v>57</v>
      </c>
      <c r="B62" s="29" t="inlineStr">
        <is>
          <t>Bom dia</t>
        </is>
      </c>
      <c r="C62" s="30" t="inlineStr">
        <is>
          <t>Ativa</t>
        </is>
      </c>
      <c r="D62" s="31" t="inlineStr">
        <is>
          <t>Tempo</t>
        </is>
      </c>
      <c r="E62" s="31" t="inlineStr">
        <is>
          <t>Primeiro uso do dia</t>
        </is>
      </c>
      <c r="F62" s="31" t="inlineStr">
        <is>
          <t>B14 + C1</t>
        </is>
      </c>
      <c r="G62" s="32" t="n">
        <v>1000</v>
      </c>
      <c r="H62" s="31" t="inlineStr">
        <is>
          <t>B1 + C5</t>
        </is>
      </c>
      <c r="I62" s="32" t="n">
        <v>800</v>
      </c>
      <c r="J62" s="31" t="inlineStr">
        <is>
          <t>B4 + C5</t>
        </is>
      </c>
      <c r="K62" s="32" t="n">
        <v>1500</v>
      </c>
      <c r="L62" s="31" t="n"/>
      <c r="M62" s="30" t="n"/>
      <c r="N62" s="33">
        <f>SUM(G62,I62,K62,M62)</f>
        <v/>
      </c>
      <c r="O62" s="30" t="inlineStr">
        <is>
          <t>—</t>
        </is>
      </c>
      <c r="P62" s="34" t="inlineStr">
        <is>
          <t>Ajustar gatilho</t>
        </is>
      </c>
      <c r="Q62" s="35" t="inlineStr">
        <is>
          <t>primeiro evento real do dia após 05h; fura cota</t>
        </is>
      </c>
    </row>
    <row r="63" ht="15" customHeight="1" s="24">
      <c r="A63" s="28" t="n">
        <v>58</v>
      </c>
      <c r="B63" s="29" t="inlineStr">
        <is>
          <t>Hora do almoço</t>
        </is>
      </c>
      <c r="C63" s="30" t="inlineStr">
        <is>
          <t>Ativa</t>
        </is>
      </c>
      <c r="D63" s="31" t="inlineStr">
        <is>
          <t>Tempo</t>
        </is>
      </c>
      <c r="E63" s="31" t="inlineStr">
        <is>
          <t>Horário do almoço</t>
        </is>
      </c>
      <c r="F63" s="31" t="inlineStr">
        <is>
          <t>B4 + C5</t>
        </is>
      </c>
      <c r="G63" s="32" t="n">
        <v>800</v>
      </c>
      <c r="H63" s="31" t="inlineStr">
        <is>
          <t>F3 + C9 · pensando em comida</t>
        </is>
      </c>
      <c r="I63" s="32" t="n">
        <v>1500</v>
      </c>
      <c r="J63" s="31" t="n"/>
      <c r="K63" s="30" t="n"/>
      <c r="L63" s="31" t="n"/>
      <c r="M63" s="30" t="n"/>
      <c r="N63" s="33">
        <f>SUM(G63,I63,K63,M63)</f>
        <v/>
      </c>
      <c r="O63" s="30" t="inlineStr">
        <is>
          <t>—</t>
        </is>
      </c>
      <c r="P63" s="34" t="inlineStr">
        <is>
          <t>Aprovada</t>
        </is>
      </c>
      <c r="Q63" s="35" t="inlineStr"/>
    </row>
    <row r="64" ht="15" customHeight="1" s="24">
      <c r="A64" s="28" t="n">
        <v>59</v>
      </c>
      <c r="B64" s="29" t="inlineStr">
        <is>
          <t>Meia-noite</t>
        </is>
      </c>
      <c r="C64" s="30" t="inlineStr">
        <is>
          <t>Ativa</t>
        </is>
      </c>
      <c r="D64" s="31" t="inlineStr">
        <is>
          <t>Tempo</t>
        </is>
      </c>
      <c r="E64" s="31" t="inlineStr">
        <is>
          <t>Virada para 00:00</t>
        </is>
      </c>
      <c r="F64" s="31" t="inlineStr">
        <is>
          <t>B7 + C12</t>
        </is>
      </c>
      <c r="G64" s="32" t="n">
        <v>1200</v>
      </c>
      <c r="H64" s="31" t="inlineStr">
        <is>
          <t>F7 + C11</t>
        </is>
      </c>
      <c r="I64" s="32" t="n">
        <v>1200</v>
      </c>
      <c r="J64" s="31" t="n"/>
      <c r="K64" s="30" t="n"/>
      <c r="L64" s="31" t="n"/>
      <c r="M64" s="30" t="n"/>
      <c r="N64" s="33">
        <f>SUM(G64,I64,K64,M64)</f>
        <v/>
      </c>
      <c r="O64" s="30" t="inlineStr">
        <is>
          <t>—</t>
        </is>
      </c>
      <c r="P64" s="34" t="inlineStr">
        <is>
          <t>Aprovada</t>
        </is>
      </c>
      <c r="Q64" s="35" t="inlineStr"/>
    </row>
    <row r="65" ht="15" customHeight="1" s="24">
      <c r="A65" s="28" t="n">
        <v>60</v>
      </c>
      <c r="B65" s="29" t="inlineStr">
        <is>
          <t>Madrugada pesada</t>
        </is>
      </c>
      <c r="C65" s="30" t="inlineStr">
        <is>
          <t>Ativa</t>
        </is>
      </c>
      <c r="D65" s="31" t="inlineStr">
        <is>
          <t>Tempo</t>
        </is>
      </c>
      <c r="E65" s="31" t="inlineStr">
        <is>
          <t>Uso entre 3h e 5h</t>
        </is>
      </c>
      <c r="F65" s="31" t="inlineStr">
        <is>
          <t>B14 + C4</t>
        </is>
      </c>
      <c r="G65" s="32" t="n">
        <v>1500</v>
      </c>
      <c r="H65" s="31" t="inlineStr">
        <is>
          <t>B10 + C9 + F7 · sugere dormir</t>
        </is>
      </c>
      <c r="I65" s="32" t="n">
        <v>2500</v>
      </c>
      <c r="J65" s="31" t="n"/>
      <c r="K65" s="30" t="n"/>
      <c r="L65" s="31" t="n"/>
      <c r="M65" s="30" t="n"/>
      <c r="N65" s="33">
        <f>SUM(G65,I65,K65,M65)</f>
        <v/>
      </c>
      <c r="O65" s="30" t="inlineStr">
        <is>
          <t>—</t>
        </is>
      </c>
      <c r="P65" s="34" t="inlineStr">
        <is>
          <t>Aprovada</t>
        </is>
      </c>
      <c r="Q65" s="35" t="inlineStr"/>
    </row>
    <row r="66" ht="15" customHeight="1" s="24">
      <c r="A66" s="28" t="n">
        <v>61</v>
      </c>
      <c r="B66" s="29" t="inlineStr">
        <is>
          <t>Sugerindo pausa</t>
        </is>
      </c>
      <c r="C66" s="30" t="inlineStr">
        <is>
          <t>Ativa</t>
        </is>
      </c>
      <c r="D66" s="31" t="inlineStr">
        <is>
          <t>Tempo</t>
        </is>
      </c>
      <c r="E66" s="31" t="inlineStr">
        <is>
          <t>Sessão de 2 h ou mais sem pausa</t>
        </is>
      </c>
      <c r="F66" s="31" t="inlineStr">
        <is>
          <t>B10 + C5</t>
        </is>
      </c>
      <c r="G66" s="32" t="n">
        <v>1000</v>
      </c>
      <c r="H66" s="31" t="inlineStr">
        <is>
          <t>F1 + C5</t>
        </is>
      </c>
      <c r="I66" s="32" t="n">
        <v>1200</v>
      </c>
      <c r="J66" s="31" t="n"/>
      <c r="K66" s="30" t="n"/>
      <c r="L66" s="31" t="n"/>
      <c r="M66" s="30" t="n"/>
      <c r="N66" s="33">
        <f>SUM(G66,I66,K66,M66)</f>
        <v/>
      </c>
      <c r="O66" s="30" t="inlineStr">
        <is>
          <t>—</t>
        </is>
      </c>
      <c r="P66" s="34" t="inlineStr">
        <is>
          <t>Ajustar gatilho</t>
        </is>
      </c>
      <c r="Q66" s="35" t="inlineStr">
        <is>
          <t>variante do long_session existente</t>
        </is>
      </c>
    </row>
    <row r="67" ht="15" customHeight="1" s="24">
      <c r="A67" s="28" t="n">
        <v>62</v>
      </c>
      <c r="B67" s="29" t="inlineStr">
        <is>
          <t>Sentiu sua falta</t>
        </is>
      </c>
      <c r="C67" s="30" t="inlineStr">
        <is>
          <t>Ativa</t>
        </is>
      </c>
      <c r="D67" s="31" t="inlineStr">
        <is>
          <t>Tempo</t>
        </is>
      </c>
      <c r="E67" s="31" t="inlineStr">
        <is>
          <t>Você volta depois de uma ausência longa</t>
        </is>
      </c>
      <c r="F67" s="31" t="inlineStr">
        <is>
          <t>B10 + C9</t>
        </is>
      </c>
      <c r="G67" s="32" t="n">
        <v>800</v>
      </c>
      <c r="H67" s="31" t="inlineStr">
        <is>
          <t>B9 + C7</t>
        </is>
      </c>
      <c r="I67" s="32" t="n">
        <v>500</v>
      </c>
      <c r="J67" s="31" t="inlineStr">
        <is>
          <t>B4 + C5 + D1</t>
        </is>
      </c>
      <c r="K67" s="32" t="n">
        <v>1800</v>
      </c>
      <c r="L67" s="31" t="n"/>
      <c r="M67" s="30" t="n"/>
      <c r="N67" s="33">
        <f>SUM(G67,I67,K67,M67)</f>
        <v/>
      </c>
      <c r="O67" s="30" t="inlineStr">
        <is>
          <t>—</t>
        </is>
      </c>
      <c r="P67" s="34" t="inlineStr">
        <is>
          <t>Ajustar gatilho</t>
        </is>
      </c>
      <c r="Q67" s="35" t="inlineStr">
        <is>
          <t>primeiro evento após ≥2 h sem nenhum; fura cota e cota de blush</t>
        </is>
      </c>
    </row>
    <row r="68" ht="15" customHeight="1" s="24">
      <c r="A68" s="28" t="n">
        <v>63</v>
      </c>
      <c r="B68" s="29" t="inlineStr">
        <is>
          <t>Data especial</t>
        </is>
      </c>
      <c r="C68" s="30" t="inlineStr">
        <is>
          <t>Ativa</t>
        </is>
      </c>
      <c r="D68" s="31" t="inlineStr">
        <is>
          <t>Tempo</t>
        </is>
      </c>
      <c r="E68" s="31" t="inlineStr">
        <is>
          <t>Aniversário ou data cadastrada</t>
        </is>
      </c>
      <c r="F68" s="31" t="inlineStr">
        <is>
          <t>B9 + C7 + D5</t>
        </is>
      </c>
      <c r="G68" s="32" t="n">
        <v>500</v>
      </c>
      <c r="H68" s="31" t="inlineStr">
        <is>
          <t>B5 + C6 + D1 + D6</t>
        </is>
      </c>
      <c r="I68" s="32" t="n">
        <v>2500</v>
      </c>
      <c r="J68" s="31" t="n"/>
      <c r="K68" s="30" t="n"/>
      <c r="L68" s="31" t="n"/>
      <c r="M68" s="30" t="n"/>
      <c r="N68" s="33">
        <f>SUM(G68,I68,K68,M68)</f>
        <v/>
      </c>
      <c r="O68" s="30" t="inlineStr">
        <is>
          <t>—</t>
        </is>
      </c>
      <c r="P68" s="34" t="inlineStr">
        <is>
          <t>Aprovada</t>
        </is>
      </c>
      <c r="Q68" s="35" t="inlineStr">
        <is>
          <t>Aprovada condicionada ao sinal [datas] no toml: data cadastrada pelo Pedro. Fora do código até o sinal existir.</t>
        </is>
      </c>
    </row>
    <row r="69" ht="15" customHeight="1" s="24">
      <c r="A69" s="28" t="n">
        <v>64</v>
      </c>
      <c r="B69" s="29" t="inlineStr">
        <is>
          <t>Cutucada</t>
        </is>
      </c>
      <c r="C69" s="30" t="inlineStr">
        <is>
          <t>Ativa</t>
        </is>
      </c>
      <c r="D69" s="31" t="inlineStr">
        <is>
          <t>Interação</t>
        </is>
      </c>
      <c r="E69" s="31" t="inlineStr">
        <is>
          <t>Cliques seguidos nela</t>
        </is>
      </c>
      <c r="F69" s="31" t="inlineStr">
        <is>
          <t>B9 + C7 · 1º clique</t>
        </is>
      </c>
      <c r="G69" s="32" t="n">
        <v>600</v>
      </c>
      <c r="H69" s="31" t="inlineStr">
        <is>
          <t>B7 + C9 · 2º clique</t>
        </is>
      </c>
      <c r="I69" s="32" t="n">
        <v>800</v>
      </c>
      <c r="J69" s="31" t="inlineStr">
        <is>
          <t>B6 + C8 + D8 · 3º clique em diante</t>
        </is>
      </c>
      <c r="K69" s="32" t="n">
        <v>1500</v>
      </c>
      <c r="L69" s="31" t="inlineStr">
        <is>
          <t>B2 → B1 + C1 · parou de clicar</t>
        </is>
      </c>
      <c r="M69" s="32" t="n">
        <v>600</v>
      </c>
      <c r="N69" s="33">
        <f>SUM(G69,I69,K69,M69)</f>
        <v/>
      </c>
      <c r="O69" s="30" t="inlineStr">
        <is>
          <t>—</t>
        </is>
      </c>
      <c r="P69" s="34" t="inlineStr">
        <is>
          <t>Ajustar gatilho</t>
        </is>
      </c>
      <c r="Q69" s="35" t="inlineStr">
        <is>
          <t>cliques no LED 1º/2º/3º+ em 5 s; vai pro retrato com o sinal A</t>
        </is>
      </c>
    </row>
    <row r="70" ht="15" customHeight="1" s="24">
      <c r="A70" s="28" t="n">
        <v>65</v>
      </c>
      <c r="B70" s="29" t="inlineStr">
        <is>
          <t>Hover</t>
        </is>
      </c>
      <c r="C70" s="30" t="inlineStr">
        <is>
          <t>Ativa</t>
        </is>
      </c>
      <c r="D70" s="31" t="inlineStr">
        <is>
          <t>Interação</t>
        </is>
      </c>
      <c r="E70" s="31" t="inlineStr">
        <is>
          <t>Mouse sobre ela</t>
        </is>
      </c>
      <c r="F70" s="31" t="inlineStr">
        <is>
          <t>B4 + C5 + D1 suave</t>
        </is>
      </c>
      <c r="G70" s="32" t="n">
        <v>1500</v>
      </c>
      <c r="H70" s="31" t="n"/>
      <c r="I70" s="30" t="n"/>
      <c r="J70" s="31" t="n"/>
      <c r="K70" s="30" t="n"/>
      <c r="L70" s="31" t="n"/>
      <c r="M70" s="30" t="n"/>
      <c r="N70" s="33">
        <f>SUM(G70,I70,K70,M70)</f>
        <v/>
      </c>
      <c r="O70" s="30" t="inlineStr">
        <is>
          <t>—</t>
        </is>
      </c>
      <c r="P70" s="34" t="inlineStr">
        <is>
          <t>Aprovada</t>
        </is>
      </c>
      <c r="Q70" s="35" t="inlineStr">
        <is>
          <t>Aprovada condicionada ao sinal A (retrato): hover; blush na cota. Fora do código até o sinal existir.</t>
        </is>
      </c>
    </row>
    <row r="71" ht="23.85" customHeight="1" s="24">
      <c r="A71" s="28" t="n">
        <v>66</v>
      </c>
      <c r="B71" s="29" t="inlineStr">
        <is>
          <t>Cutucada com fone</t>
        </is>
      </c>
      <c r="C71" s="30" t="inlineStr">
        <is>
          <t>Ativa</t>
        </is>
      </c>
      <c r="D71" s="31" t="inlineStr">
        <is>
          <t>Interação</t>
        </is>
      </c>
      <c r="E71" s="31" t="inlineStr">
        <is>
          <t>Clique nela enquanto está de fone</t>
        </is>
      </c>
      <c r="F71" s="31" t="inlineStr">
        <is>
          <t>B10 + C7 + D4 (?) · E2 sai</t>
        </is>
      </c>
      <c r="G71" s="32" t="n">
        <v>700</v>
      </c>
      <c r="H71" s="31" t="inlineStr">
        <is>
          <t>B1 + C1 · fone volta se a música ainda toca</t>
        </is>
      </c>
      <c r="I71" s="32" t="n">
        <v>800</v>
      </c>
      <c r="J71" s="31" t="n"/>
      <c r="K71" s="30" t="n"/>
      <c r="L71" s="31" t="n"/>
      <c r="M71" s="30" t="n"/>
      <c r="N71" s="33">
        <f>SUM(G71,I71,K71,M71)</f>
        <v/>
      </c>
      <c r="O71" s="30" t="inlineStr">
        <is>
          <t>—</t>
        </is>
      </c>
      <c r="P71" s="34" t="inlineStr">
        <is>
          <t>Ajustar gatilho</t>
        </is>
      </c>
      <c r="Q71" s="35" t="inlineStr">
        <is>
          <t>clique no LED com música tocando (variante do 64)</t>
        </is>
      </c>
    </row>
    <row r="72" ht="15" customHeight="1" s="24">
      <c r="A72" s="28" t="n">
        <v>67</v>
      </c>
      <c r="B72" s="29" t="inlineStr">
        <is>
          <t>Carinho</t>
        </is>
      </c>
      <c r="C72" s="30" t="inlineStr">
        <is>
          <t>Ativa</t>
        </is>
      </c>
      <c r="D72" s="31" t="inlineStr">
        <is>
          <t>Interação</t>
        </is>
      </c>
      <c r="E72" s="31" t="inlineStr">
        <is>
          <t>Arrastar o mouse sobre a cabeça dela</t>
        </is>
      </c>
      <c r="F72" s="31" t="inlineStr">
        <is>
          <t>B2 + C1</t>
        </is>
      </c>
      <c r="G72" s="32" t="n">
        <v>600</v>
      </c>
      <c r="H72" s="31" t="inlineStr">
        <is>
          <t>B5 + C5 + D1 · cabelo balança</t>
        </is>
      </c>
      <c r="I72" s="32" t="n">
        <v>2000</v>
      </c>
      <c r="J72" s="31" t="n"/>
      <c r="K72" s="30" t="n"/>
      <c r="L72" s="31" t="n"/>
      <c r="M72" s="30" t="n"/>
      <c r="N72" s="33">
        <f>SUM(G72,I72,K72,M72)</f>
        <v/>
      </c>
      <c r="O72" s="30" t="inlineStr">
        <is>
          <t>—</t>
        </is>
      </c>
      <c r="P72" s="34" t="inlineStr">
        <is>
          <t>Aprovada</t>
        </is>
      </c>
      <c r="Q72" s="35" t="inlineStr">
        <is>
          <t>Aprovada condicionada ao sinal A (retrato): arrasto na metade de cima. Fora do código até o sinal existir.</t>
        </is>
      </c>
    </row>
    <row r="73" ht="15" customHeight="1" s="24">
      <c r="A73" s="28" t="n">
        <v>68</v>
      </c>
      <c r="B73" s="29" t="inlineStr">
        <is>
          <t>Mouse sacudido</t>
        </is>
      </c>
      <c r="C73" s="30" t="inlineStr">
        <is>
          <t>Ativa</t>
        </is>
      </c>
      <c r="D73" s="31" t="inlineStr">
        <is>
          <t>Interação</t>
        </is>
      </c>
      <c r="E73" s="31" t="inlineStr">
        <is>
          <t>Mouse sacudido sobre ela</t>
        </is>
      </c>
      <c r="F73" s="31" t="inlineStr">
        <is>
          <t>B9 + C7 + D2</t>
        </is>
      </c>
      <c r="G73" s="32" t="n">
        <v>600</v>
      </c>
      <c r="H73" s="31" t="inlineStr">
        <is>
          <t>B10 + C9 · corpo tonto</t>
        </is>
      </c>
      <c r="I73" s="32" t="n">
        <v>1200</v>
      </c>
      <c r="J73" s="31" t="n"/>
      <c r="K73" s="30" t="n"/>
      <c r="L73" s="31" t="n"/>
      <c r="M73" s="30" t="n"/>
      <c r="N73" s="33">
        <f>SUM(G73,I73,K73,M73)</f>
        <v/>
      </c>
      <c r="O73" s="30" t="inlineStr">
        <is>
          <t>—</t>
        </is>
      </c>
      <c r="P73" s="34" t="inlineStr">
        <is>
          <t>Substituir</t>
        </is>
      </c>
      <c r="Q73" s="35" t="inlineStr">
        <is>
          <t>sem sinal → ideia 'Tontura de pulos'</t>
        </is>
      </c>
    </row>
    <row r="74" ht="15" customHeight="1" s="24">
      <c r="A74" s="28" t="n">
        <v>69</v>
      </c>
      <c r="B74" s="29" t="inlineStr">
        <is>
          <t>Clique duplo</t>
        </is>
      </c>
      <c r="C74" s="30" t="inlineStr">
        <is>
          <t>Ativa</t>
        </is>
      </c>
      <c r="D74" s="31" t="inlineStr">
        <is>
          <t>Interação</t>
        </is>
      </c>
      <c r="E74" s="31" t="inlineStr">
        <is>
          <t>Clique duplo nela</t>
        </is>
      </c>
      <c r="F74" s="31" t="inlineStr">
        <is>
          <t>B9 + D5</t>
        </is>
      </c>
      <c r="G74" s="32" t="n">
        <v>400</v>
      </c>
      <c r="H74" s="31" t="inlineStr">
        <is>
          <t>B6 + C8</t>
        </is>
      </c>
      <c r="I74" s="32" t="n">
        <v>1200</v>
      </c>
      <c r="J74" s="31" t="n"/>
      <c r="K74" s="30" t="n"/>
      <c r="L74" s="31" t="n"/>
      <c r="M74" s="30" t="n"/>
      <c r="N74" s="33">
        <f>SUM(G74,I74,K74,M74)</f>
        <v/>
      </c>
      <c r="O74" s="30" t="inlineStr">
        <is>
          <t>—</t>
        </is>
      </c>
      <c r="P74" s="34" t="inlineStr">
        <is>
          <t>Aprovada</t>
        </is>
      </c>
      <c r="Q74" s="35" t="inlineStr">
        <is>
          <t>Aprovada condicionada ao sinal A (retrato): clique duplo. Fora do código até o sinal existir.</t>
        </is>
      </c>
    </row>
    <row r="75" ht="15" customHeight="1" s="24">
      <c r="A75" s="28" t="n">
        <v>70</v>
      </c>
      <c r="B75" s="29" t="inlineStr">
        <is>
          <t>Segurar o clique</t>
        </is>
      </c>
      <c r="C75" s="30" t="inlineStr">
        <is>
          <t>Ativa</t>
        </is>
      </c>
      <c r="D75" s="31" t="inlineStr">
        <is>
          <t>Interação</t>
        </is>
      </c>
      <c r="E75" s="31" t="inlineStr">
        <is>
          <t>Clique longo nela</t>
        </is>
      </c>
      <c r="F75" s="31" t="inlineStr">
        <is>
          <t>B2 + C1</t>
        </is>
      </c>
      <c r="G75" s="32" t="n">
        <v>600</v>
      </c>
      <c r="H75" s="31" t="inlineStr">
        <is>
          <t>B3 + C5 · relaxando</t>
        </is>
      </c>
      <c r="I75" s="32" t="n">
        <v>2500</v>
      </c>
      <c r="J75" s="31" t="n"/>
      <c r="K75" s="30" t="n"/>
      <c r="L75" s="31" t="n"/>
      <c r="M75" s="30" t="n"/>
      <c r="N75" s="33">
        <f>SUM(G75,I75,K75,M75)</f>
        <v/>
      </c>
      <c r="O75" s="30" t="inlineStr">
        <is>
          <t>—</t>
        </is>
      </c>
      <c r="P75" s="34" t="inlineStr">
        <is>
          <t>Aprovada</t>
        </is>
      </c>
      <c r="Q75" s="35" t="inlineStr">
        <is>
          <t>Aprovada condicionada ao sinal A (retrato): clique ≥800 ms; 1×/sessão. Fora do código até o sinal existir.</t>
        </is>
      </c>
    </row>
    <row r="76" ht="15" customHeight="1" s="24">
      <c r="A76" s="28" t="n">
        <v>71</v>
      </c>
      <c r="B76" s="29" t="inlineStr">
        <is>
          <t>Notícia boa</t>
        </is>
      </c>
      <c r="C76" s="30" t="inlineStr">
        <is>
          <t>Ativa</t>
        </is>
      </c>
      <c r="D76" s="31" t="inlineStr">
        <is>
          <t>Rádio Ayanami</t>
        </is>
      </c>
      <c r="E76" s="31" t="inlineStr">
        <is>
          <t>Item novo e positivo na Rádio Ayanami</t>
        </is>
      </c>
      <c r="F76" s="31" t="inlineStr">
        <is>
          <t>F5 + C7</t>
        </is>
      </c>
      <c r="G76" s="32" t="n">
        <v>600</v>
      </c>
      <c r="H76" s="31" t="inlineStr">
        <is>
          <t>B4 + C5</t>
        </is>
      </c>
      <c r="I76" s="32" t="n">
        <v>1500</v>
      </c>
      <c r="J76" s="31" t="n"/>
      <c r="K76" s="30" t="n"/>
      <c r="L76" s="31" t="n"/>
      <c r="M76" s="30" t="n"/>
      <c r="N76" s="33">
        <f>SUM(G76,I76,K76,M76)</f>
        <v/>
      </c>
      <c r="O76" s="30" t="inlineStr">
        <is>
          <t>—</t>
        </is>
      </c>
      <c r="P76" s="34" t="inlineStr">
        <is>
          <t>Ajustar gatilho</t>
        </is>
      </c>
      <c r="Q76" s="35" t="inlineStr">
        <is>
          <t>manchete com palavra de noticia_boa (toml)</t>
        </is>
      </c>
    </row>
    <row r="77" ht="15" customHeight="1" s="24">
      <c r="A77" s="28" t="n">
        <v>72</v>
      </c>
      <c r="B77" s="29" t="inlineStr">
        <is>
          <t>Notícia ruim</t>
        </is>
      </c>
      <c r="C77" s="30" t="inlineStr">
        <is>
          <t>Ativa</t>
        </is>
      </c>
      <c r="D77" s="31" t="inlineStr">
        <is>
          <t>Rádio Ayanami</t>
        </is>
      </c>
      <c r="E77" s="31" t="inlineStr">
        <is>
          <t>Item novo e negativo na Rádio Ayanami</t>
        </is>
      </c>
      <c r="F77" s="31" t="inlineStr">
        <is>
          <t>F5 + C7</t>
        </is>
      </c>
      <c r="G77" s="32" t="n">
        <v>600</v>
      </c>
      <c r="H77" s="31" t="inlineStr">
        <is>
          <t>B10 + C9</t>
        </is>
      </c>
      <c r="I77" s="32" t="n">
        <v>1800</v>
      </c>
      <c r="J77" s="31" t="n"/>
      <c r="K77" s="30" t="n"/>
      <c r="L77" s="31" t="n"/>
      <c r="M77" s="30" t="n"/>
      <c r="N77" s="33">
        <f>SUM(G77,I77,K77,M77)</f>
        <v/>
      </c>
      <c r="O77" s="30" t="inlineStr">
        <is>
          <t>—</t>
        </is>
      </c>
      <c r="P77" s="34" t="inlineStr">
        <is>
          <t>Ajustar gatilho</t>
        </is>
      </c>
      <c r="Q77" s="35" t="inlineStr">
        <is>
          <t>manchete com palavra de noticia_ruim; nunca riso ou zoeira</t>
        </is>
      </c>
    </row>
    <row r="78" ht="15" customHeight="1" s="24">
      <c r="A78" s="28" t="n">
        <v>73</v>
      </c>
      <c r="B78" s="29" t="inlineStr">
        <is>
          <t>Notícia absurda</t>
        </is>
      </c>
      <c r="C78" s="30" t="inlineStr">
        <is>
          <t>Ativa</t>
        </is>
      </c>
      <c r="D78" s="31" t="inlineStr">
        <is>
          <t>Rádio Ayanami</t>
        </is>
      </c>
      <c r="E78" s="31" t="inlineStr">
        <is>
          <t>Item bizarro na Rádio Ayanami</t>
        </is>
      </c>
      <c r="F78" s="31" t="inlineStr">
        <is>
          <t>B9 + C7</t>
        </is>
      </c>
      <c r="G78" s="32" t="n">
        <v>600</v>
      </c>
      <c r="H78" s="31" t="inlineStr">
        <is>
          <t>B7 + C12</t>
        </is>
      </c>
      <c r="I78" s="32" t="n">
        <v>1500</v>
      </c>
      <c r="J78" s="31" t="n"/>
      <c r="K78" s="30" t="n"/>
      <c r="L78" s="31" t="n"/>
      <c r="M78" s="30" t="n"/>
      <c r="N78" s="33">
        <f>SUM(G78,I78,K78,M78)</f>
        <v/>
      </c>
      <c r="O78" s="30" t="inlineStr">
        <is>
          <t>—</t>
        </is>
      </c>
      <c r="P78" s="34" t="inlineStr">
        <is>
          <t>Ajustar gatilho</t>
        </is>
      </c>
      <c r="Q78" s="35" t="inlineStr">
        <is>
          <t>manchete com palavra de noticia_absurda; nunca em morte/desastre</t>
        </is>
      </c>
    </row>
    <row r="79" ht="23.85" customHeight="1" s="24">
      <c r="A79" s="28" t="n">
        <v>74</v>
      </c>
      <c r="B79" s="29" t="inlineStr">
        <is>
          <t>Tsundere (elogio)</t>
        </is>
      </c>
      <c r="C79" s="30" t="inlineStr">
        <is>
          <t>Ativa</t>
        </is>
      </c>
      <c r="D79" s="31" t="inlineStr">
        <is>
          <t>Conversa e personalidade</t>
        </is>
      </c>
      <c r="E79" s="31" t="inlineStr">
        <is>
          <t>Elogio ou feedback positivo</t>
        </is>
      </c>
      <c r="F79" s="31" t="inlineStr">
        <is>
          <t>B6 + C9 + D1</t>
        </is>
      </c>
      <c r="G79" s="32" t="n">
        <v>1500</v>
      </c>
      <c r="H79" s="31" t="inlineStr">
        <is>
          <t>F1 + C12 + D1 · gira a cabeça pro lado</t>
        </is>
      </c>
      <c r="I79" s="32" t="n">
        <v>1500</v>
      </c>
      <c r="J79" s="31" t="inlineStr">
        <is>
          <t>B2 → B1 + C1</t>
        </is>
      </c>
      <c r="K79" s="32" t="n">
        <v>600</v>
      </c>
      <c r="L79" s="31" t="n"/>
      <c r="M79" s="30" t="n"/>
      <c r="N79" s="33">
        <f>SUM(G79,I79,K79,M79)</f>
        <v/>
      </c>
      <c r="O79" s="30" t="inlineStr">
        <is>
          <t>—</t>
        </is>
      </c>
      <c r="P79" s="34" t="inlineStr">
        <is>
          <t>Aprovada</t>
        </is>
      </c>
      <c r="Q79" s="35" t="inlineStr">
        <is>
          <t>Aprovada condicionada ao sinal B (tag da conversa): elogio. Fora do código até o sinal existir.</t>
        </is>
      </c>
    </row>
    <row r="80" ht="23.85" customHeight="1" s="24">
      <c r="A80" s="28" t="n">
        <v>75</v>
      </c>
      <c r="B80" s="29" t="inlineStr">
        <is>
          <t>Ideia!</t>
        </is>
      </c>
      <c r="C80" s="30" t="inlineStr">
        <is>
          <t>Ativa</t>
        </is>
      </c>
      <c r="D80" s="31" t="inlineStr">
        <is>
          <t>Conversa e personalidade</t>
        </is>
      </c>
      <c r="E80" s="31" t="inlineStr">
        <is>
          <t>Resposta ou descoberta encontrada</t>
        </is>
      </c>
      <c r="F80" s="31" t="inlineStr">
        <is>
          <t>B13 + C7</t>
        </is>
      </c>
      <c r="G80" s="32" t="n">
        <v>1200</v>
      </c>
      <c r="H80" s="31" t="inlineStr">
        <is>
          <t>B9 + C7 + D5 · recuo do corpo</t>
        </is>
      </c>
      <c r="I80" s="32" t="n">
        <v>500</v>
      </c>
      <c r="J80" s="31" t="inlineStr">
        <is>
          <t>B4 + C6 · chiquinhas balançam</t>
        </is>
      </c>
      <c r="K80" s="32" t="n">
        <v>1500</v>
      </c>
      <c r="L80" s="31" t="n"/>
      <c r="M80" s="30" t="n"/>
      <c r="N80" s="33">
        <f>SUM(G80,I80,K80,M80)</f>
        <v/>
      </c>
      <c r="O80" s="30" t="inlineStr">
        <is>
          <t>—</t>
        </is>
      </c>
      <c r="P80" s="34" t="inlineStr">
        <is>
          <t>Ajustar gatilho</t>
        </is>
      </c>
      <c r="Q80" s="35" t="inlineStr">
        <is>
          <t>HEAD do git mudou (commit novo); árvore limpa é variante</t>
        </is>
      </c>
    </row>
    <row r="81" ht="23.85" customHeight="1" s="24">
      <c r="A81" s="28" t="n">
        <v>76</v>
      </c>
      <c r="B81" s="29" t="inlineStr">
        <is>
          <t>Rindo</t>
        </is>
      </c>
      <c r="C81" s="30" t="inlineStr">
        <is>
          <t>Ativa</t>
        </is>
      </c>
      <c r="D81" s="31" t="inlineStr">
        <is>
          <t>Conversa e personalidade</t>
        </is>
      </c>
      <c r="E81" s="31" t="inlineStr">
        <is>
          <t>Zoeira ou algo engraçado</t>
        </is>
      </c>
      <c r="F81" s="31" t="inlineStr">
        <is>
          <t>B5 + C6 · corpo tremendo</t>
        </is>
      </c>
      <c r="G81" s="32" t="n">
        <v>1800</v>
      </c>
      <c r="H81" s="31" t="inlineStr">
        <is>
          <t>B5 + C6 + D7 (lágrima de rir)</t>
        </is>
      </c>
      <c r="I81" s="32" t="n">
        <v>1200</v>
      </c>
      <c r="J81" s="31" t="inlineStr">
        <is>
          <t>B4 + C5</t>
        </is>
      </c>
      <c r="K81" s="32" t="n">
        <v>800</v>
      </c>
      <c r="L81" s="31" t="n"/>
      <c r="M81" s="30" t="n"/>
      <c r="N81" s="33">
        <f>SUM(G81,I81,K81,M81)</f>
        <v/>
      </c>
      <c r="O81" s="30" t="inlineStr">
        <is>
          <t>—</t>
        </is>
      </c>
      <c r="P81" s="34" t="inlineStr">
        <is>
          <t>Aprovada</t>
        </is>
      </c>
      <c r="Q81" s="35" t="inlineStr">
        <is>
          <t>Aprovada condicionada ao sinal B (tag da conversa): zoeira; D7 de riso só de madrugada. Fora do código até o sinal existir.</t>
        </is>
      </c>
    </row>
    <row r="82" ht="23.85" customHeight="1" s="24">
      <c r="A82" s="28" t="n">
        <v>77</v>
      </c>
      <c r="B82" s="29" t="inlineStr">
        <is>
          <t>Flagrada olhando</t>
        </is>
      </c>
      <c r="C82" s="30" t="inlineStr">
        <is>
          <t>Ativa</t>
        </is>
      </c>
      <c r="D82" s="31" t="inlineStr">
        <is>
          <t>Conversa e personalidade</t>
        </is>
      </c>
      <c r="E82" s="31" t="inlineStr">
        <is>
          <t>Cursor parado sobre ela por alguns segundos</t>
        </is>
      </c>
      <c r="F82" s="31" t="inlineStr">
        <is>
          <t>B1 + C1</t>
        </is>
      </c>
      <c r="G82" s="32" t="n">
        <v>1000</v>
      </c>
      <c r="H82" s="31" t="inlineStr">
        <is>
          <t>O1: íris desvia + C1 + D2</t>
        </is>
      </c>
      <c r="I82" s="32" t="n">
        <v>1200</v>
      </c>
      <c r="J82" s="31" t="inlineStr">
        <is>
          <t>O1: íris volta devagar + C10 + D1</t>
        </is>
      </c>
      <c r="K82" s="32" t="n">
        <v>1500</v>
      </c>
      <c r="L82" s="31" t="n"/>
      <c r="M82" s="30" t="n"/>
      <c r="N82" s="33">
        <f>SUM(G82,I82,K82,M82)</f>
        <v/>
      </c>
      <c r="O82" s="30" t="inlineStr">
        <is>
          <t>—</t>
        </is>
      </c>
      <c r="P82" s="34" t="inlineStr">
        <is>
          <t>Aprovada</t>
        </is>
      </c>
      <c r="Q82" s="35" t="inlineStr">
        <is>
          <t>Aprovada condicionada ao sinal A (retrato): mouse parado 3–5 s. Fora do código até o sinal existir.</t>
        </is>
      </c>
    </row>
    <row r="83" ht="23.85" customHeight="1" s="24">
      <c r="A83" s="28" t="n">
        <v>78</v>
      </c>
      <c r="B83" s="29" t="inlineStr">
        <is>
          <t>Desconfiada</t>
        </is>
      </c>
      <c r="C83" s="30" t="inlineStr">
        <is>
          <t>Ativa</t>
        </is>
      </c>
      <c r="D83" s="31" t="inlineStr">
        <is>
          <t>Conversa e personalidade</t>
        </is>
      </c>
      <c r="E83" s="31" t="inlineStr">
        <is>
          <t>Algo suspeito ou resposta duvidosa</t>
        </is>
      </c>
      <c r="F83" s="31" t="inlineStr">
        <is>
          <t>B7 + C12</t>
        </is>
      </c>
      <c r="G83" s="32" t="n">
        <v>1200</v>
      </c>
      <c r="H83" s="31" t="inlineStr">
        <is>
          <t>F6 + C12</t>
        </is>
      </c>
      <c r="I83" s="32" t="n">
        <v>1500</v>
      </c>
      <c r="J83" s="31" t="n"/>
      <c r="K83" s="30" t="n"/>
      <c r="L83" s="31" t="n"/>
      <c r="M83" s="30" t="n"/>
      <c r="N83" s="33">
        <f>SUM(G83,I83,K83,M83)</f>
        <v/>
      </c>
      <c r="O83" s="30" t="inlineStr">
        <is>
          <t>—</t>
        </is>
      </c>
      <c r="P83" s="34" t="inlineStr">
        <is>
          <t>Ajustar gatilho</t>
        </is>
      </c>
      <c r="Q83" s="35" t="inlineStr">
        <is>
          <t>título com slowed/sped up/nightcore</t>
        </is>
      </c>
    </row>
    <row r="84" ht="23.85" customHeight="1" s="24">
      <c r="A84" s="28" t="n">
        <v>79</v>
      </c>
      <c r="B84" s="29" t="inlineStr">
        <is>
          <t>Triste leve</t>
        </is>
      </c>
      <c r="C84" s="30" t="inlineStr">
        <is>
          <t>Ativa</t>
        </is>
      </c>
      <c r="D84" s="31" t="inlineStr">
        <is>
          <t>Conversa e personalidade</t>
        </is>
      </c>
      <c r="E84" s="31" t="inlineStr">
        <is>
          <t>Falha leve ou mensagem triste</t>
        </is>
      </c>
      <c r="F84" s="31" t="inlineStr">
        <is>
          <t>B10 + C9</t>
        </is>
      </c>
      <c r="G84" s="32" t="n">
        <v>1200</v>
      </c>
      <c r="H84" s="31" t="inlineStr">
        <is>
          <t>F7 + C9 + D7 · ombros caídos</t>
        </is>
      </c>
      <c r="I84" s="32" t="n">
        <v>2000</v>
      </c>
      <c r="J84" s="31" t="n"/>
      <c r="K84" s="30" t="n"/>
      <c r="L84" s="31" t="n"/>
      <c r="M84" s="30" t="n"/>
      <c r="N84" s="33">
        <f>SUM(G84,I84,K84,M84)</f>
        <v/>
      </c>
      <c r="O84" s="30" t="inlineStr">
        <is>
          <t>—</t>
        </is>
      </c>
      <c r="P84" s="34" t="inlineStr">
        <is>
          <t>Ajustar gatilho</t>
        </is>
      </c>
      <c r="Q84" s="35" t="inlineStr">
        <is>
          <t>humor do Pedro ≤1; sem D7, sem texto, sem deboche</t>
        </is>
      </c>
    </row>
    <row r="85" ht="23.85" customHeight="1" s="24">
      <c r="A85" s="28" t="n">
        <v>80</v>
      </c>
      <c r="B85" s="29" t="inlineStr">
        <is>
          <t>Impaciente</t>
        </is>
      </c>
      <c r="C85" s="30" t="inlineStr">
        <is>
          <t>Ativa</t>
        </is>
      </c>
      <c r="D85" s="31" t="inlineStr">
        <is>
          <t>Conversa e personalidade</t>
        </is>
      </c>
      <c r="E85" s="31" t="inlineStr">
        <is>
          <t>PC lento ou espera longa</t>
        </is>
      </c>
      <c r="F85" s="31" t="inlineStr">
        <is>
          <t>B7 + C9</t>
        </is>
      </c>
      <c r="G85" s="32" t="n">
        <v>1500</v>
      </c>
      <c r="H85" s="31" t="inlineStr">
        <is>
          <t>F7 alternando com B1 + C9</t>
        </is>
      </c>
      <c r="I85" s="32" t="n">
        <v>1500</v>
      </c>
      <c r="J85" s="31" t="inlineStr">
        <is>
          <t>B7 + C4 · suspiro</t>
        </is>
      </c>
      <c r="K85" s="32" t="n">
        <v>1000</v>
      </c>
      <c r="L85" s="31" t="n"/>
      <c r="M85" s="30" t="n"/>
      <c r="N85" s="33">
        <f>SUM(G85,I85,K85,M85)</f>
        <v/>
      </c>
      <c r="O85" s="30" t="inlineStr">
        <is>
          <t>—</t>
        </is>
      </c>
      <c r="P85" s="34" t="inlineStr">
        <is>
          <t>Ajustar gatilho</t>
        </is>
      </c>
      <c r="Q85" s="35" t="inlineStr">
        <is>
          <t>CPU ≥90% por ≥60 s sem jogo aberto</t>
        </is>
      </c>
    </row>
    <row r="86" ht="23.85" customHeight="1" s="24">
      <c r="A86" s="28" t="n">
        <v>81</v>
      </c>
      <c r="B86" s="29" t="inlineStr">
        <is>
          <t>Surpresa boa</t>
        </is>
      </c>
      <c r="C86" s="30" t="inlineStr">
        <is>
          <t>Ativa</t>
        </is>
      </c>
      <c r="D86" s="31" t="inlineStr">
        <is>
          <t>Conversa e personalidade</t>
        </is>
      </c>
      <c r="E86" s="31" t="inlineStr">
        <is>
          <t>Boa notícia inesperada</t>
        </is>
      </c>
      <c r="F86" s="31" t="inlineStr">
        <is>
          <t>B9 + C7</t>
        </is>
      </c>
      <c r="G86" s="32" t="n">
        <v>500</v>
      </c>
      <c r="H86" s="31" t="inlineStr">
        <is>
          <t>B4 + C6 + D1 · chiquinhas balançam</t>
        </is>
      </c>
      <c r="I86" s="32" t="n">
        <v>1500</v>
      </c>
      <c r="J86" s="31" t="n"/>
      <c r="K86" s="30" t="n"/>
      <c r="L86" s="31" t="n"/>
      <c r="M86" s="30" t="n"/>
      <c r="N86" s="33">
        <f>SUM(G86,I86,K86,M86)</f>
        <v/>
      </c>
      <c r="O86" s="30" t="inlineStr">
        <is>
          <t>—</t>
        </is>
      </c>
      <c r="P86" s="34" t="inlineStr">
        <is>
          <t>Ajustar gatilho</t>
        </is>
      </c>
      <c r="Q86" s="35" t="inlineStr">
        <is>
          <t>nota 2 começa logo depois de uma nota −1</t>
        </is>
      </c>
    </row>
    <row r="87" ht="15" customHeight="1" s="24">
      <c r="A87" s="28" t="n">
        <v>82</v>
      </c>
      <c r="B87" s="29" t="inlineStr">
        <is>
          <t>Foco com fone</t>
        </is>
      </c>
      <c r="C87" s="30" t="inlineStr">
        <is>
          <t>Ativa</t>
        </is>
      </c>
      <c r="D87" s="31" t="inlineStr">
        <is>
          <t>Claude Code</t>
        </is>
      </c>
      <c r="E87" s="31" t="inlineStr">
        <is>
          <t>Claude Code trabalhando ou sessão de foco</t>
        </is>
      </c>
      <c r="F87" s="31" t="inlineStr">
        <is>
          <t>F7 + C1 + E2 · cabeça balança de leve</t>
        </is>
      </c>
      <c r="G87" s="32" t="n">
        <v>1500</v>
      </c>
      <c r="H87" s="31" t="inlineStr">
        <is>
          <t>F5 + C1 + E2</t>
        </is>
      </c>
      <c r="I87" s="32" t="n">
        <v>1500</v>
      </c>
      <c r="J87" s="31" t="n"/>
      <c r="K87" s="30" t="n"/>
      <c r="L87" s="31" t="n"/>
      <c r="M87" s="30" t="n"/>
      <c r="N87" s="33">
        <f>SUM(G87,I87,K87,M87)</f>
        <v/>
      </c>
      <c r="O87" s="30" t="inlineStr">
        <is>
          <t>—</t>
        </is>
      </c>
      <c r="P87" s="34" t="inlineStr">
        <is>
          <t>Ajustar gatilho</t>
        </is>
      </c>
      <c r="Q87" s="35" t="inlineStr">
        <is>
          <t>Claude rodando e música tocando (família claude)</t>
        </is>
      </c>
    </row>
    <row r="88" ht="23.85" customHeight="1" s="24">
      <c r="A88" s="28" t="n">
        <v>83</v>
      </c>
      <c r="B88" s="29" t="inlineStr">
        <is>
          <t>Provocação com piscadinha</t>
        </is>
      </c>
      <c r="C88" s="30" t="inlineStr">
        <is>
          <t>Ativa</t>
        </is>
      </c>
      <c r="D88" s="31" t="inlineStr">
        <is>
          <t>Conversa e personalidade</t>
        </is>
      </c>
      <c r="E88" s="31" t="inlineStr">
        <is>
          <t>Zoeira do usuário ou ela provocando</t>
        </is>
      </c>
      <c r="F88" s="31" t="inlineStr">
        <is>
          <t>B4 + C10</t>
        </is>
      </c>
      <c r="G88" s="32" t="n">
        <v>800</v>
      </c>
      <c r="H88" s="31" t="inlineStr">
        <is>
          <t>B16 + C10</t>
        </is>
      </c>
      <c r="I88" s="32" t="n">
        <v>1200</v>
      </c>
      <c r="J88" s="31" t="n"/>
      <c r="K88" s="30" t="n"/>
      <c r="L88" s="31" t="n"/>
      <c r="M88" s="30" t="n"/>
      <c r="N88" s="33">
        <f>SUM(G88,I88,K88,M88)</f>
        <v/>
      </c>
      <c r="O88" s="30" t="inlineStr">
        <is>
          <t>B16</t>
        </is>
      </c>
      <c r="P88" s="34" t="inlineStr">
        <is>
          <t>Ajustar gatilho</t>
        </is>
      </c>
      <c r="Q88" s="35" t="inlineStr">
        <is>
          <t>Pedro pula ≥2 faixas e para numa nota 2 → piscadinha</t>
        </is>
      </c>
    </row>
    <row r="89" ht="23.85" customHeight="1" s="24">
      <c r="A89" s="28" t="n">
        <v>84</v>
      </c>
      <c r="B89" s="29" t="inlineStr">
        <is>
          <t>Eu avisei</t>
        </is>
      </c>
      <c r="C89" s="30" t="inlineStr">
        <is>
          <t>Ativa</t>
        </is>
      </c>
      <c r="D89" s="31" t="inlineStr">
        <is>
          <t>Conversa e personalidade</t>
        </is>
      </c>
      <c r="E89" s="31" t="inlineStr">
        <is>
          <t>Algo dá errado do jeito que ela previu</t>
        </is>
      </c>
      <c r="F89" s="31" t="inlineStr">
        <is>
          <t>B6 + C1</t>
        </is>
      </c>
      <c r="G89" s="32" t="n">
        <v>800</v>
      </c>
      <c r="H89" s="31" t="inlineStr">
        <is>
          <t>B4 + C10 · queixo erguido</t>
        </is>
      </c>
      <c r="I89" s="32" t="n">
        <v>1800</v>
      </c>
      <c r="J89" s="31" t="n"/>
      <c r="K89" s="30" t="n"/>
      <c r="L89" s="31" t="n"/>
      <c r="M89" s="30" t="n"/>
      <c r="N89" s="33">
        <f>SUM(G89,I89,K89,M89)</f>
        <v/>
      </c>
      <c r="O89" s="30" t="inlineStr">
        <is>
          <t>—</t>
        </is>
      </c>
      <c r="P89" s="34" t="inlineStr">
        <is>
          <t>Ajustar gatilho</t>
        </is>
      </c>
      <c r="Q89" s="35" t="inlineStr">
        <is>
          <t>hot/fps_drop ≤10 min depois de ela reagir ao 34</t>
        </is>
      </c>
    </row>
    <row r="90" ht="23.85" customHeight="1" s="24">
      <c r="A90" s="28" t="n">
        <v>85</v>
      </c>
      <c r="B90" s="29" t="inlineStr">
        <is>
          <t>Indiferente</t>
        </is>
      </c>
      <c r="C90" s="30" t="inlineStr">
        <is>
          <t>Ativa</t>
        </is>
      </c>
      <c r="D90" s="31" t="inlineStr">
        <is>
          <t>Conversa e personalidade</t>
        </is>
      </c>
      <c r="E90" s="31" t="inlineStr">
        <is>
          <t>Pedido repetitivo ou óbvio</t>
        </is>
      </c>
      <c r="F90" s="31" t="inlineStr">
        <is>
          <t>B7 + C1 + F6</t>
        </is>
      </c>
      <c r="G90" s="32" t="n">
        <v>1500</v>
      </c>
      <c r="H90" s="31" t="inlineStr">
        <is>
          <t>B2 + C11</t>
        </is>
      </c>
      <c r="I90" s="32" t="n">
        <v>1000</v>
      </c>
      <c r="J90" s="31" t="n"/>
      <c r="K90" s="30" t="n"/>
      <c r="L90" s="31" t="n"/>
      <c r="M90" s="30" t="n"/>
      <c r="N90" s="33">
        <f>SUM(G90,I90,K90,M90)</f>
        <v/>
      </c>
      <c r="O90" s="30" t="inlineStr">
        <is>
          <t>—</t>
        </is>
      </c>
      <c r="P90" s="34" t="inlineStr">
        <is>
          <t>Ajustar gatilho</t>
        </is>
      </c>
      <c r="Q90" s="35" t="inlineStr">
        <is>
          <t>mesmo botão do player ≥3× em 10 s</t>
        </is>
      </c>
    </row>
    <row r="91" ht="23.85" customHeight="1" s="24">
      <c r="A91" s="28" t="n">
        <v>86</v>
      </c>
      <c r="B91" s="29" t="inlineStr">
        <is>
          <t>Pedindo desculpa</t>
        </is>
      </c>
      <c r="C91" s="30" t="inlineStr">
        <is>
          <t>Ativa</t>
        </is>
      </c>
      <c r="D91" s="31" t="inlineStr">
        <is>
          <t>Conversa e personalidade</t>
        </is>
      </c>
      <c r="E91" s="31" t="inlineStr">
        <is>
          <t>Ela errou</t>
        </is>
      </c>
      <c r="F91" s="31" t="inlineStr">
        <is>
          <t>B10 + C9</t>
        </is>
      </c>
      <c r="G91" s="32" t="n">
        <v>1000</v>
      </c>
      <c r="H91" s="31" t="inlineStr">
        <is>
          <t>B3 + C1 · cabeça baixa</t>
        </is>
      </c>
      <c r="I91" s="32" t="n">
        <v>1000</v>
      </c>
      <c r="J91" s="31" t="inlineStr">
        <is>
          <t>B10 + C5</t>
        </is>
      </c>
      <c r="K91" s="32" t="n">
        <v>1500</v>
      </c>
      <c r="L91" s="31" t="n"/>
      <c r="M91" s="30" t="n"/>
      <c r="N91" s="33">
        <f>SUM(G91,I91,K91,M91)</f>
        <v/>
      </c>
      <c r="O91" s="30" t="inlineStr">
        <is>
          <t>—</t>
        </is>
      </c>
      <c r="P91" s="34" t="inlineStr">
        <is>
          <t>Aprovada</t>
        </is>
      </c>
      <c r="Q91" s="35" t="inlineStr">
        <is>
          <t>Aprovada condicionada ao sinal B (tag da conversa): correcao; termina de queixo erguido. Fora do código até o sinal existir.</t>
        </is>
      </c>
    </row>
    <row r="92" ht="23.85" customHeight="1" s="24">
      <c r="A92" s="28" t="n">
        <v>87</v>
      </c>
      <c r="B92" s="29" t="inlineStr">
        <is>
          <t>Gaguejando</t>
        </is>
      </c>
      <c r="C92" s="30" t="inlineStr">
        <is>
          <t>Ativa</t>
        </is>
      </c>
      <c r="D92" s="31" t="inlineStr">
        <is>
          <t>Conversa e personalidade</t>
        </is>
      </c>
      <c r="E92" s="31" t="inlineStr">
        <is>
          <t>Elogiada de surpresa</t>
        </is>
      </c>
      <c r="F92" s="31" t="inlineStr">
        <is>
          <t>B9 + V5 + D2</t>
        </is>
      </c>
      <c r="G92" s="32" t="n">
        <v>400</v>
      </c>
      <c r="H92" s="31" t="inlineStr">
        <is>
          <t>B10 + V5 + D1</t>
        </is>
      </c>
      <c r="I92" s="32" t="n">
        <v>400</v>
      </c>
      <c r="J92" s="31" t="inlineStr">
        <is>
          <t>B4 + C5 + D1</t>
        </is>
      </c>
      <c r="K92" s="32" t="n">
        <v>1200</v>
      </c>
      <c r="L92" s="31" t="n"/>
      <c r="M92" s="30" t="n"/>
      <c r="N92" s="33">
        <f>SUM(G92,I92,K92,M92)</f>
        <v/>
      </c>
      <c r="O92" s="30" t="inlineStr">
        <is>
          <t>—</t>
        </is>
      </c>
      <c r="P92" s="34" t="inlineStr">
        <is>
          <t>Aprovada</t>
        </is>
      </c>
      <c r="Q92" s="35" t="inlineStr">
        <is>
          <t>Aprovada condicionada ao sinal B (tag da conversa): 2º elogio ≤5 min após o 74. Fora do código até o sinal existir.</t>
        </is>
      </c>
    </row>
    <row r="93" ht="23.85" customHeight="1" s="24">
      <c r="A93" s="28" t="n">
        <v>88</v>
      </c>
      <c r="B93" s="29" t="inlineStr">
        <is>
          <t>Sussurrando um segredo</t>
        </is>
      </c>
      <c r="C93" s="30" t="inlineStr">
        <is>
          <t>Ativa</t>
        </is>
      </c>
      <c r="D93" s="31" t="inlineStr">
        <is>
          <t>Conversa e personalidade</t>
        </is>
      </c>
      <c r="E93" s="31" t="inlineStr">
        <is>
          <t>Fala em voz baixa</t>
        </is>
      </c>
      <c r="F93" s="31" t="inlineStr">
        <is>
          <t>F1</t>
        </is>
      </c>
      <c r="G93" s="32" t="n">
        <v>500</v>
      </c>
      <c r="H93" s="31" t="inlineStr">
        <is>
          <t>B1 + V4</t>
        </is>
      </c>
      <c r="I93" s="32" t="n">
        <v>600</v>
      </c>
      <c r="J93" s="31" t="inlineStr">
        <is>
          <t>B4 + C10</t>
        </is>
      </c>
      <c r="K93" s="32" t="n">
        <v>1200</v>
      </c>
      <c r="L93" s="31" t="n"/>
      <c r="M93" s="30" t="n"/>
      <c r="N93" s="33">
        <f>SUM(G93,I93,K93,M93)</f>
        <v/>
      </c>
      <c r="O93" s="30" t="inlineStr">
        <is>
          <t>—</t>
        </is>
      </c>
      <c r="P93" s="34" t="inlineStr">
        <is>
          <t>Aprovada</t>
        </is>
      </c>
      <c r="Q93" s="35" t="inlineStr">
        <is>
          <t>Aprovada condicionada ao sinal F (microfone): nível abaixo do limiar. Fora do código até o sinal existir.</t>
        </is>
      </c>
    </row>
    <row r="94" ht="23.85" customHeight="1" s="24">
      <c r="A94" s="28" t="n">
        <v>89</v>
      </c>
      <c r="B94" s="29" t="inlineStr">
        <is>
          <t>Indecisa</t>
        </is>
      </c>
      <c r="C94" s="30" t="inlineStr">
        <is>
          <t>Ativa</t>
        </is>
      </c>
      <c r="D94" s="31" t="inlineStr">
        <is>
          <t>Conversa e personalidade</t>
        </is>
      </c>
      <c r="E94" s="31" t="inlineStr">
        <is>
          <t>Duas opções propostas</t>
        </is>
      </c>
      <c r="F94" s="31" t="inlineStr">
        <is>
          <t>F1 + C11</t>
        </is>
      </c>
      <c r="G94" s="32" t="n">
        <v>900</v>
      </c>
      <c r="H94" s="31" t="inlineStr">
        <is>
          <t>F6 + C11</t>
        </is>
      </c>
      <c r="I94" s="32" t="n">
        <v>900</v>
      </c>
      <c r="J94" s="31" t="inlineStr">
        <is>
          <t>B13 + C7</t>
        </is>
      </c>
      <c r="K94" s="32" t="n">
        <v>1200</v>
      </c>
      <c r="L94" s="31" t="n"/>
      <c r="M94" s="30" t="n"/>
      <c r="N94" s="33">
        <f>SUM(G94,I94,K94,M94)</f>
        <v/>
      </c>
      <c r="O94" s="30" t="inlineStr">
        <is>
          <t>—</t>
        </is>
      </c>
      <c r="P94" s="34" t="inlineStr">
        <is>
          <t>Ajustar gatilho</t>
        </is>
      </c>
      <c r="Q94" s="35" t="inlineStr">
        <is>
          <t>anterior/próxima alternados ≥2× em 15 s</t>
        </is>
      </c>
    </row>
    <row r="95" ht="15" customHeight="1" s="24">
      <c r="A95" s="28" t="n">
        <v>90</v>
      </c>
      <c r="B95" s="29" t="inlineStr">
        <is>
          <t>Concentração extrema</t>
        </is>
      </c>
      <c r="C95" s="30" t="inlineStr">
        <is>
          <t>Ativa</t>
        </is>
      </c>
      <c r="D95" s="31" t="inlineStr">
        <is>
          <t>Claude Code</t>
        </is>
      </c>
      <c r="E95" s="31" t="inlineStr">
        <is>
          <t>Build ou tarefa longa e pesada</t>
        </is>
      </c>
      <c r="F95" s="31" t="inlineStr">
        <is>
          <t>B6 + C8 + F7 · sem piscar</t>
        </is>
      </c>
      <c r="G95" s="32" t="n">
        <v>3000</v>
      </c>
      <c r="H95" s="31" t="inlineStr">
        <is>
          <t>B2 + C8</t>
        </is>
      </c>
      <c r="I95" s="32" t="n">
        <v>300</v>
      </c>
      <c r="J95" s="31" t="n"/>
      <c r="K95" s="30" t="n"/>
      <c r="L95" s="31" t="n"/>
      <c r="M95" s="30" t="n"/>
      <c r="N95" s="33">
        <f>SUM(G95,I95,K95,M95)</f>
        <v/>
      </c>
      <c r="O95" s="30" t="inlineStr">
        <is>
          <t>—</t>
        </is>
      </c>
      <c r="P95" s="34" t="inlineStr">
        <is>
          <t>Ajustar gatilho</t>
        </is>
      </c>
      <c r="Q95" s="35" t="inlineStr">
        <is>
          <t>Claude rodando ≥15 min com CPU ≥70%</t>
        </is>
      </c>
    </row>
  </sheetData>
  <autoFilter ref="A5:Q95"/>
  <dataValidations count="2">
    <dataValidation sqref="C6:C300" showDropDown="0" showInputMessage="0" showErrorMessage="0" allowBlank="1" type="list" errorStyle="stop" operator="between">
      <formula1>"Passiva,Ativa"</formula1>
      <formula2>0</formula2>
    </dataValidation>
    <dataValidation sqref="P6:P300" showDropDown="0" showInputMessage="0" showErrorMessage="0" allowBlank="1" type="list" errorStyle="stop" operator="between">
      <formula1>"Pendente,Aprovada,Ajustar gatilho,Substituir"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3" min="1" max="1"/>
    <col width="16" customWidth="1" style="23" min="2" max="2"/>
    <col width="22" customWidth="1" style="23" min="3" max="4"/>
  </cols>
  <sheetData>
    <row r="1" ht="17.35" customHeight="1" s="24">
      <c r="A1" s="25" t="inlineStr">
        <is>
          <t>Resumo</t>
        </is>
      </c>
    </row>
    <row r="2" ht="15" customHeight="1" s="24">
      <c r="A2" s="26" t="inlineStr">
        <is>
          <t>Tudo calculado a partir das abas Reações e Conselho; muda sozinho conforme o Conselho decide.</t>
        </is>
      </c>
    </row>
    <row r="4" ht="15" customHeight="1" s="24">
      <c r="A4" s="36" t="inlineStr">
        <is>
          <t>Piso de reações</t>
        </is>
      </c>
    </row>
    <row r="5" ht="15" customHeight="1" s="24">
      <c r="A5" s="31" t="inlineStr">
        <is>
          <t>Reações listadas (aba Reações)</t>
        </is>
      </c>
      <c r="B5" s="28">
        <f>COUNTA(Reações!$B$6:$B$300)</f>
        <v/>
      </c>
    </row>
    <row r="6" ht="15" customHeight="1" s="24">
      <c r="A6" s="31" t="inlineStr">
        <is>
          <t>Ideias novas do Conselho</t>
        </is>
      </c>
      <c r="B6" s="28">
        <f>COUNTA(Conselho!$B$10:$B$39)</f>
        <v/>
      </c>
    </row>
    <row r="7" ht="15" customHeight="1" s="24">
      <c r="A7" s="29" t="inlineStr">
        <is>
          <t>Total de reações</t>
        </is>
      </c>
      <c r="B7" s="37">
        <f>B5+B6</f>
        <v/>
      </c>
    </row>
    <row r="8" ht="15" customHeight="1" s="24">
      <c r="A8" s="31" t="inlineStr">
        <is>
          <t>Mínimo exigido</t>
        </is>
      </c>
      <c r="B8" s="38" t="n">
        <v>80</v>
      </c>
      <c r="C8" s="26" t="inlineStr">
        <is>
          <t>Piso definido por você (80).</t>
        </is>
      </c>
    </row>
    <row r="9" ht="23.85" customHeight="1" s="24">
      <c r="A9" s="29" t="inlineStr">
        <is>
          <t>Situação</t>
        </is>
      </c>
      <c r="B9" s="39">
        <f>IF(B7&gt;=B8,"OK: piso cumprido","ABAIXO DO MÍNIMO")</f>
        <v/>
      </c>
    </row>
    <row r="11" ht="15" customHeight="1" s="24">
      <c r="A11" s="36" t="inlineStr">
        <is>
          <t>Por tipo</t>
        </is>
      </c>
    </row>
    <row r="12" ht="15" customHeight="1" s="24">
      <c r="A12" s="40" t="inlineStr">
        <is>
          <t>Tipo</t>
        </is>
      </c>
      <c r="B12" s="40" t="inlineStr">
        <is>
          <t>Reações</t>
        </is>
      </c>
      <c r="C12" s="40" t="inlineStr">
        <is>
          <t>Duração média (ms)</t>
        </is>
      </c>
    </row>
    <row r="13" ht="15" customHeight="1" s="24">
      <c r="A13" s="29" t="inlineStr">
        <is>
          <t>Passiva</t>
        </is>
      </c>
      <c r="B13" s="28">
        <f>COUNTIF(Reações!$C$6:$C$300,A13)</f>
        <v/>
      </c>
      <c r="C13" s="41">
        <f>IFERROR(AVERAGEIF(Reações!$C$6:$C$300,A13,Reações!$N$6:$N$300),"")</f>
        <v/>
      </c>
    </row>
    <row r="14" ht="15" customHeight="1" s="24">
      <c r="A14" s="29" t="inlineStr">
        <is>
          <t>Ativa</t>
        </is>
      </c>
      <c r="B14" s="28">
        <f>COUNTIF(Reações!$C$6:$C$300,A14)</f>
        <v/>
      </c>
      <c r="C14" s="41">
        <f>IFERROR(AVERAGEIF(Reações!$C$6:$C$300,A14,Reações!$N$6:$N$300),"")</f>
        <v/>
      </c>
    </row>
    <row r="16" ht="15" customHeight="1" s="24">
      <c r="A16" s="36" t="inlineStr">
        <is>
          <t>Por categoria</t>
        </is>
      </c>
    </row>
    <row r="17" ht="15" customHeight="1" s="24">
      <c r="A17" s="40" t="inlineStr">
        <is>
          <t>Categoria</t>
        </is>
      </c>
      <c r="B17" s="40" t="inlineStr">
        <is>
          <t>Reações</t>
        </is>
      </c>
      <c r="C17" s="40" t="inlineStr">
        <is>
          <t>Duração média (ms)</t>
        </is>
      </c>
    </row>
    <row r="18" ht="15" customHeight="1" s="24">
      <c r="A18" s="29" t="inlineStr">
        <is>
          <t>Ambiente</t>
        </is>
      </c>
      <c r="B18" s="28">
        <f>COUNTIF(Reações!$D$6:$D$300,A18)</f>
        <v/>
      </c>
      <c r="C18" s="41">
        <f>IFERROR(AVERAGEIF(Reações!$D$6:$D$300,A18,Reações!$N$6:$N$300),"")</f>
        <v/>
      </c>
    </row>
    <row r="19" ht="15" customHeight="1" s="24">
      <c r="A19" s="29" t="inlineStr">
        <is>
          <t>Tédio e sono</t>
        </is>
      </c>
      <c r="B19" s="28">
        <f>COUNTIF(Reações!$D$6:$D$300,A19)</f>
        <v/>
      </c>
      <c r="C19" s="41">
        <f>IFERROR(AVERAGEIF(Reações!$D$6:$D$300,A19,Reações!$N$6:$N$300),"")</f>
        <v/>
      </c>
    </row>
    <row r="20" ht="15" customHeight="1" s="24">
      <c r="A20" s="29" t="inlineStr">
        <is>
          <t>Música</t>
        </is>
      </c>
      <c r="B20" s="28">
        <f>COUNTIF(Reações!$D$6:$D$300,A20)</f>
        <v/>
      </c>
      <c r="C20" s="41">
        <f>IFERROR(AVERAGEIF(Reações!$D$6:$D$300,A20,Reações!$N$6:$N$300),"")</f>
        <v/>
      </c>
    </row>
    <row r="21" ht="15" customHeight="1" s="24">
      <c r="A21" s="29" t="inlineStr">
        <is>
          <t>Sistema</t>
        </is>
      </c>
      <c r="B21" s="28">
        <f>COUNTIF(Reações!$D$6:$D$300,A21)</f>
        <v/>
      </c>
      <c r="C21" s="41">
        <f>IFERROR(AVERAGEIF(Reações!$D$6:$D$300,A21,Reações!$N$6:$N$300),"")</f>
        <v/>
      </c>
    </row>
    <row r="22" ht="15" customHeight="1" s="24">
      <c r="A22" s="29" t="inlineStr">
        <is>
          <t>Claude Code</t>
        </is>
      </c>
      <c r="B22" s="28">
        <f>COUNTIF(Reações!$D$6:$D$300,A22)</f>
        <v/>
      </c>
      <c r="C22" s="41">
        <f>IFERROR(AVERAGEIF(Reações!$D$6:$D$300,A22,Reações!$N$6:$N$300),"")</f>
        <v/>
      </c>
    </row>
    <row r="23" ht="15" customHeight="1" s="24">
      <c r="A23" s="29" t="inlineStr">
        <is>
          <t>Tempo</t>
        </is>
      </c>
      <c r="B23" s="28">
        <f>COUNTIF(Reações!$D$6:$D$300,A23)</f>
        <v/>
      </c>
      <c r="C23" s="41">
        <f>IFERROR(AVERAGEIF(Reações!$D$6:$D$300,A23,Reações!$N$6:$N$300),"")</f>
        <v/>
      </c>
    </row>
    <row r="24" ht="15" customHeight="1" s="24">
      <c r="A24" s="29" t="inlineStr">
        <is>
          <t>Interação</t>
        </is>
      </c>
      <c r="B24" s="28">
        <f>COUNTIF(Reações!$D$6:$D$300,A24)</f>
        <v/>
      </c>
      <c r="C24" s="41">
        <f>IFERROR(AVERAGEIF(Reações!$D$6:$D$300,A24,Reações!$N$6:$N$300),"")</f>
        <v/>
      </c>
    </row>
    <row r="25" ht="15" customHeight="1" s="24">
      <c r="A25" s="29" t="inlineStr">
        <is>
          <t>Rádio Ayanami</t>
        </is>
      </c>
      <c r="B25" s="28">
        <f>COUNTIF(Reações!$D$6:$D$300,A25)</f>
        <v/>
      </c>
      <c r="C25" s="41">
        <f>IFERROR(AVERAGEIF(Reações!$D$6:$D$300,A25,Reações!$N$6:$N$300),"")</f>
        <v/>
      </c>
    </row>
    <row r="26" ht="15" customHeight="1" s="24">
      <c r="A26" s="29" t="inlineStr">
        <is>
          <t>Conversa e personalidade</t>
        </is>
      </c>
      <c r="B26" s="28">
        <f>COUNTIF(Reações!$D$6:$D$300,A26)</f>
        <v/>
      </c>
      <c r="C26" s="41">
        <f>IFERROR(AVERAGEIF(Reações!$D$6:$D$300,A26,Reações!$N$6:$N$300),"")</f>
        <v/>
      </c>
    </row>
    <row r="27" ht="15" customHeight="1" s="24">
      <c r="A27" s="42" t="inlineStr">
        <is>
          <t>Total</t>
        </is>
      </c>
      <c r="B27" s="43">
        <f>SUM(B18:B26)</f>
        <v/>
      </c>
      <c r="C27" s="44">
        <f>IFERROR(AVERAGE(Reações!$N$6:$N$300),"")</f>
        <v/>
      </c>
    </row>
    <row r="29" ht="15" customHeight="1" s="24">
      <c r="A29" s="36" t="inlineStr">
        <is>
          <t>Decisão do Conselho</t>
        </is>
      </c>
    </row>
    <row r="30" ht="15" customHeight="1" s="24">
      <c r="A30" s="40" t="inlineStr">
        <is>
          <t>Decisão</t>
        </is>
      </c>
      <c r="B30" s="40" t="inlineStr">
        <is>
          <t>Reações</t>
        </is>
      </c>
    </row>
    <row r="31" ht="15" customHeight="1" s="24">
      <c r="A31" s="29" t="inlineStr">
        <is>
          <t>Pendente</t>
        </is>
      </c>
      <c r="B31" s="28">
        <f>COUNTIF(Reações!$P$6:$P$300,A31)</f>
        <v/>
      </c>
    </row>
    <row r="32" ht="15" customHeight="1" s="24">
      <c r="A32" s="29" t="inlineStr">
        <is>
          <t>Aprovada</t>
        </is>
      </c>
      <c r="B32" s="28">
        <f>COUNTIF(Reações!$P$6:$P$300,A32)</f>
        <v/>
      </c>
    </row>
    <row r="33" ht="15" customHeight="1" s="24">
      <c r="A33" s="29" t="inlineStr">
        <is>
          <t>Ajustar gatilho</t>
        </is>
      </c>
      <c r="B33" s="28">
        <f>COUNTIF(Reações!$P$6:$P$300,A33)</f>
        <v/>
      </c>
    </row>
    <row r="34" ht="15" customHeight="1" s="24">
      <c r="A34" s="29" t="inlineStr">
        <is>
          <t>Substituir</t>
        </is>
      </c>
      <c r="B34" s="28">
        <f>COUNTIF(Reações!$P$6:$P$300,A34)</f>
        <v/>
      </c>
    </row>
    <row r="36" ht="15" customHeight="1" s="24">
      <c r="A36" s="36" t="inlineStr">
        <is>
          <t>Dependem de asset novo</t>
        </is>
      </c>
    </row>
    <row r="37" ht="15" customHeight="1" s="24">
      <c r="A37" s="29" t="inlineStr">
        <is>
          <t>Reações que precisam de asset novo</t>
        </is>
      </c>
      <c r="B37" s="28">
        <f>SUMPRODUCT((Reações!$O$6:$O$300&lt;&gt;"—")*(Reações!$O$6:$O$300&lt;&gt;""))</f>
        <v/>
      </c>
    </row>
    <row r="38" ht="15" customHeight="1" s="24">
      <c r="A38" s="29" t="inlineStr">
        <is>
          <t>Reações que usam só o que já existe</t>
        </is>
      </c>
      <c r="B38" s="28">
        <f>B5-B37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3" min="1" max="1"/>
    <col width="30" customWidth="1" style="23" min="2" max="2"/>
    <col width="12" customWidth="1" style="23" min="3" max="3"/>
    <col width="20" customWidth="1" style="23" min="4" max="4"/>
    <col width="38" customWidth="1" style="23" min="5" max="5"/>
    <col width="44" customWidth="1" style="23" min="6" max="6"/>
    <col width="30" customWidth="1" style="23" min="7" max="7"/>
  </cols>
  <sheetData>
    <row r="1" ht="17.35" customHeight="1" s="24">
      <c r="A1" s="25" t="inlineStr">
        <is>
          <t>Conselho: decisões sobre as reações</t>
        </is>
      </c>
    </row>
    <row r="3" ht="42" customHeight="1" s="24">
      <c r="A3" s="45" t="inlineStr">
        <is>
          <t>O que o Conselho decide</t>
        </is>
      </c>
      <c r="B3" s="46" t="inlineStr">
        <is>
          <t>Para cada reação da aba Reações: marcar a Decisão (Aprovada, Ajustar gatilho ou Substituir) e anotar o motivo. Os gatilhos são só ideias, não valem até o Conselho aprovar.</t>
        </is>
      </c>
    </row>
    <row r="4" ht="42" customHeight="1" s="24">
      <c r="A4" s="45" t="inlineStr">
        <is>
          <t>Mais ou ideias novas</t>
        </is>
      </c>
      <c r="B4" s="46" t="inlineStr">
        <is>
          <t>O Conselho também decide se vale ter mais reações do que as que estão listadas, e propõe ideias novas na tabela abaixo.</t>
        </is>
      </c>
    </row>
    <row r="5" ht="42" customHeight="1" s="24">
      <c r="A5" s="45" t="inlineStr">
        <is>
          <t>Piso de 80</t>
        </is>
      </c>
      <c r="B5" s="46" t="inlineStr">
        <is>
          <t>O total nunca pode ficar abaixo de 80. Marcar "Substituir" não tira a reação da contagem: a substituta deve ser proposta na tabela abaixo. O Resumo mostra se o piso está cumprido.</t>
        </is>
      </c>
    </row>
    <row r="6" ht="42" customHeight="1" s="24">
      <c r="A6" s="45" t="inlineStr">
        <is>
          <t>Personagem e gosto</t>
        </is>
      </c>
      <c r="B6" s="46" t="inlineStr">
        <is>
          <t>A personalidade e o gosto da Condessa vivem em persona/condessa.md (decidido pelo Conselho). As expressões aqui devem respeitar esse arquivo; se uma reação não combina com ela, trocar.</t>
        </is>
      </c>
    </row>
    <row r="7" ht="42" customHeight="1" s="24">
      <c r="A7" s="45" t="inlineStr">
        <is>
          <t>Exemplo de ideia nova</t>
        </is>
      </c>
      <c r="B7" s="46" t="inlineStr">
        <is>
          <t>"Espirro do HUD" | Passiva | Ambiente | Aleatório e muito raro | B3 + V2 → B9 + C7 · fungada. (É só um exemplo de formato; não conta no total.)</t>
        </is>
      </c>
    </row>
    <row r="8" ht="15" customHeight="1" s="24">
      <c r="A8" s="36" t="inlineStr">
        <is>
          <t>Ideias novas propostas pelo Conselho (cada linha preenchida na coluna Reação nova entra no total)</t>
        </is>
      </c>
    </row>
    <row r="9" ht="15" customHeight="1" s="24">
      <c r="A9" s="27" t="inlineStr">
        <is>
          <t>Nº</t>
        </is>
      </c>
      <c r="B9" s="27" t="inlineStr">
        <is>
          <t>Reação nova</t>
        </is>
      </c>
      <c r="C9" s="27" t="inlineStr">
        <is>
          <t>Tipo</t>
        </is>
      </c>
      <c r="D9" s="27" t="inlineStr">
        <is>
          <t>Categoria</t>
        </is>
      </c>
      <c r="E9" s="27" t="inlineStr">
        <is>
          <t>Ideia de gatilho</t>
        </is>
      </c>
      <c r="F9" s="27" t="inlineStr">
        <is>
          <t>Sequência sugerida</t>
        </is>
      </c>
      <c r="G9" s="27" t="inlineStr">
        <is>
          <t>Quem propôs / nota</t>
        </is>
      </c>
    </row>
    <row r="10" ht="15" customHeight="1" s="24">
      <c r="A10" s="28" t="n">
        <v>1</v>
      </c>
      <c r="B10" s="35" t="inlineStr">
        <is>
          <t>Fim de expediente</t>
        </is>
      </c>
      <c r="C10" s="35" t="inlineStr">
        <is>
          <t>Ativa</t>
        </is>
      </c>
      <c r="D10" s="35" t="inlineStr">
        <is>
          <t>Tempo</t>
        </is>
      </c>
      <c r="E10" s="35" t="inlineStr">
        <is>
          <t>Claude de ≥1 sessão para 0 após ≥2 h, depois das 18h</t>
        </is>
      </c>
      <c r="F10" s="35" t="inlineStr">
        <is>
          <t>B4+C5+P9 (1200) → B2+C5 (800)</t>
        </is>
      </c>
      <c r="G10" s="35" t="inlineStr">
        <is>
          <t>Kurisu · substitui o 49</t>
        </is>
      </c>
    </row>
    <row r="11" ht="15" customHeight="1" s="24">
      <c r="A11" s="28" t="n">
        <v>2</v>
      </c>
      <c r="B11" s="35" t="inlineStr">
        <is>
          <t>Boa noite</t>
        </is>
      </c>
      <c r="C11" s="35" t="inlineStr">
        <is>
          <t>Ativa</t>
        </is>
      </c>
      <c r="D11" s="35" t="inlineStr">
        <is>
          <t>Tempo</t>
        </is>
      </c>
      <c r="E11" s="35" t="inlineStr">
        <is>
          <t>0h–4h, música parou e Claude parado ≥10 min</t>
        </is>
      </c>
      <c r="F11" s="35" t="inlineStr">
        <is>
          <t>B1+C5 (800) → B14+C1 (700) → B15+C1 (1200)</t>
        </is>
      </c>
      <c r="G11" s="35" t="inlineStr">
        <is>
          <t>Aqua · substitui o 49</t>
        </is>
      </c>
    </row>
    <row r="12" ht="15" customHeight="1" s="24">
      <c r="A12" s="28" t="n">
        <v>3</v>
      </c>
      <c r="B12" s="35" t="inlineStr">
        <is>
          <t>Tontura de pulos</t>
        </is>
      </c>
      <c r="C12" s="35" t="inlineStr">
        <is>
          <t>Ativa</t>
        </is>
      </c>
      <c r="D12" s="35" t="inlineStr">
        <is>
          <t>Música</t>
        </is>
      </c>
      <c r="E12" s="35" t="inlineStr">
        <is>
          <t>5 pulos em 60 s (escala do skips)</t>
        </is>
      </c>
      <c r="F12" s="35" t="inlineStr">
        <is>
          <t>B9+C7+D2 (600) → B10+C9 (1200)</t>
        </is>
      </c>
      <c r="G12" s="35" t="inlineStr">
        <is>
          <t>Kurisu · substitui o 68</t>
        </is>
      </c>
    </row>
    <row r="13" ht="15" customHeight="1" s="24">
      <c r="A13" s="28" t="n">
        <v>4</v>
      </c>
      <c r="B13" s="35" t="inlineStr">
        <is>
          <t>Vergonha de FPS</t>
        </is>
      </c>
      <c r="C13" s="35" t="inlineStr">
        <is>
          <t>Ativa</t>
        </is>
      </c>
      <c r="D13" s="35" t="inlineStr">
        <is>
          <t>Sistema</t>
        </is>
      </c>
      <c r="E13" s="35" t="inlineStr">
        <is>
          <t>fps_drop pela 3ª vez na mesma sessão de jogo</t>
        </is>
      </c>
      <c r="F13" s="35" t="inlineStr">
        <is>
          <t>F3+C11 (1200) → B6+C8+D2 (1500) → B7+C12 (1000)</t>
        </is>
      </c>
      <c r="G13" s="35" t="inlineStr">
        <is>
          <t>Asuka</t>
        </is>
      </c>
    </row>
    <row r="14" ht="15" customHeight="1" s="24">
      <c r="A14" s="28" t="n">
        <v>5</v>
      </c>
      <c r="B14" s="35" t="inlineStr">
        <is>
          <t>Sistema sufocando</t>
        </is>
      </c>
      <c r="C14" s="35" t="inlineStr">
        <is>
          <t>Ativa</t>
        </is>
      </c>
      <c r="D14" s="35" t="inlineStr">
        <is>
          <t>Sistema</t>
        </is>
      </c>
      <c r="E14" s="35" t="inlineStr">
        <is>
          <t>RAM ≥90% ou swap +1 GB em 60 s</t>
        </is>
      </c>
      <c r="F14" s="35" t="inlineStr">
        <is>
          <t>B9+C7+D5 (600) → B6+C8+D2 (1500)</t>
        </is>
      </c>
      <c r="G14" s="35" t="inlineStr">
        <is>
          <t>Kurisu</t>
        </is>
      </c>
    </row>
    <row r="15" ht="15" customHeight="1" s="24">
      <c r="A15" s="28" t="n">
        <v>6</v>
      </c>
      <c r="B15" s="35" t="inlineStr">
        <is>
          <t>Partida sem tropeço</t>
        </is>
      </c>
      <c r="C15" s="35" t="inlineStr">
        <is>
          <t>Ativa</t>
        </is>
      </c>
      <c r="D15" s="35" t="inlineStr">
        <is>
          <t>Sistema</t>
        </is>
      </c>
      <c r="E15" s="35" t="inlineStr">
        <is>
          <t>jogo ≥30 min sem fps_drop, 1×/sessão</t>
        </is>
      </c>
      <c r="F15" s="35" t="inlineStr">
        <is>
          <t>B9+C7 (400) → B5+C6+D9 (2500)</t>
        </is>
      </c>
      <c r="G15" s="35" t="inlineStr">
        <is>
          <t>Aqua + Asuka (funde Recorde de FPS)</t>
        </is>
      </c>
    </row>
    <row r="16" ht="15" customHeight="1" s="24">
      <c r="A16" s="28" t="n">
        <v>7</v>
      </c>
      <c r="B16" s="35" t="inlineStr">
        <is>
          <t>Favorita do Dia em campo</t>
        </is>
      </c>
      <c r="C16" s="35" t="inlineStr">
        <is>
          <t>Ativa</t>
        </is>
      </c>
      <c r="D16" s="35" t="inlineStr">
        <is>
          <t>Música</t>
        </is>
      </c>
      <c r="E16" s="35" t="inlineStr">
        <is>
          <t>toca o artista sorteado como Favorita do Dia</t>
        </is>
      </c>
      <c r="F16" s="35" t="inlineStr">
        <is>
          <t>B1+C1 (200) → B4+C5+D9 (1200)</t>
        </is>
      </c>
      <c r="G16" s="35" t="inlineStr">
        <is>
          <t>Kurisu + Aqua</t>
        </is>
      </c>
    </row>
    <row r="17" ht="15" customHeight="1" s="24">
      <c r="A17" s="28" t="n">
        <v>8</v>
      </c>
      <c r="B17" s="35" t="inlineStr">
        <is>
          <t>Duelo com a Ado</t>
        </is>
      </c>
      <c r="C17" s="35" t="inlineStr">
        <is>
          <t>Ativa</t>
        </is>
      </c>
      <c r="D17" s="35" t="inlineStr">
        <is>
          <t>Música</t>
        </is>
      </c>
      <c r="E17" s="35" t="inlineStr">
        <is>
          <t>faixa da Ado começa (nunca D1 nem love)</t>
        </is>
      </c>
      <c r="F17" s="35" t="inlineStr">
        <is>
          <t>B7+C12 (800) → B6+C8 (1200) → B4+C10 (1200)</t>
        </is>
      </c>
      <c r="G17" s="35" t="inlineStr">
        <is>
          <t>Asuka + Aqua</t>
        </is>
      </c>
    </row>
    <row r="18" ht="15" customHeight="1" s="24">
      <c r="A18" s="28" t="n">
        <v>9</v>
      </c>
      <c r="B18" s="35" t="inlineStr">
        <is>
          <t>A Conta Anônima</t>
        </is>
      </c>
      <c r="C18" s="35" t="inlineStr">
        <is>
          <t>Ativa</t>
        </is>
      </c>
      <c r="D18" s="35" t="inlineStr">
        <is>
          <t>Música</t>
        </is>
      </c>
      <c r="E18" s="35" t="inlineStr">
        <is>
          <t>vocaloid ou Kenshi Yonezu/hachi tocando há 40 s</t>
        </is>
      </c>
      <c r="F18" s="35" t="inlineStr">
        <is>
          <t>B5+V1 (300) → B5+V2 (300) → F1+C1+D2 (1200) → B4+C10 (800)</t>
        </is>
      </c>
      <c r="G18" s="35" t="inlineStr">
        <is>
          <t>Kurisu + Aqua</t>
        </is>
      </c>
    </row>
    <row r="19" ht="15" customHeight="1" s="24">
      <c r="A19" s="28" t="n">
        <v>10</v>
      </c>
      <c r="B19" s="35" t="inlineStr">
        <is>
          <t>Diva contra Diva</t>
        </is>
      </c>
      <c r="C19" s="35" t="inlineStr">
        <is>
          <t>Ativa</t>
        </is>
      </c>
      <c r="D19" s="35" t="inlineStr">
        <is>
          <t>Música</t>
        </is>
      </c>
      <c r="E19" s="35" t="inlineStr">
        <is>
          <t>Lady Gaga começa a tocar</t>
        </is>
      </c>
      <c r="F19" s="35" t="inlineStr">
        <is>
          <t>B7+C12 (1000) → B4+C10 (1200)</t>
        </is>
      </c>
      <c r="G19" s="35" t="inlineStr">
        <is>
          <t>Kurisu + Aqua</t>
        </is>
      </c>
    </row>
    <row r="20" ht="15" customHeight="1" s="24">
      <c r="A20" s="28" t="n">
        <v>11</v>
      </c>
      <c r="B20" s="35" t="inlineStr">
        <is>
          <t>Tema água</t>
        </is>
      </c>
      <c r="C20" s="35" t="inlineStr">
        <is>
          <t>Ativa</t>
        </is>
      </c>
      <c r="D20" s="35" t="inlineStr">
        <is>
          <t>Música</t>
        </is>
      </c>
      <c r="E20" s="35" t="inlineStr">
        <is>
          <t>título com palavra de água (Odisseia 6)</t>
        </is>
      </c>
      <c r="F20" s="35" t="inlineStr">
        <is>
          <t>B13+C7 (800) → B4+C6+D6 (1800)</t>
        </is>
      </c>
      <c r="G20" s="35" t="inlineStr">
        <is>
          <t>Kurisu + Aqua</t>
        </is>
      </c>
    </row>
    <row r="21" ht="15" customHeight="1" s="24">
      <c r="A21" s="28" t="n">
        <v>12</v>
      </c>
      <c r="B21" s="35" t="inlineStr">
        <is>
          <t>Calada pelo Chopin</t>
        </is>
      </c>
      <c r="C21" s="35" t="inlineStr">
        <is>
          <t>Ativa</t>
        </is>
      </c>
      <c r="D21" s="35" t="inlineStr">
        <is>
          <t>Música</t>
        </is>
      </c>
      <c r="E21" s="35" t="inlineStr">
        <is>
          <t>0h–4h, Chopin ou Marika Takeuchi (variante do 29)</t>
        </is>
      </c>
      <c r="F21" s="35" t="inlineStr">
        <is>
          <t>B3+C5 (3000) → B2+C1 (600)</t>
        </is>
      </c>
      <c r="G21" s="35" t="inlineStr">
        <is>
          <t>Aqua</t>
        </is>
      </c>
    </row>
    <row r="22" ht="15" customHeight="1" s="24">
      <c r="A22" s="28" t="n">
        <v>13</v>
      </c>
      <c r="B22" s="35" t="inlineStr">
        <is>
          <t>Modo chefe</t>
        </is>
      </c>
      <c r="C22" s="35" t="inlineStr">
        <is>
          <t>Ativa</t>
        </is>
      </c>
      <c r="D22" s="35" t="inlineStr">
        <is>
          <t>Música</t>
        </is>
      </c>
      <c r="E22" s="35" t="inlineStr">
        <is>
          <t>trilha nota 2 + jogo + FPS estável ≥2 min (rosto do music_love batalha)</t>
        </is>
      </c>
      <c r="F22" s="35" t="inlineStr">
        <is>
          <t>B6+C8+E2 (2000) → B4+C10+D9 (1500)</t>
        </is>
      </c>
      <c r="G22" s="35" t="inlineStr">
        <is>
          <t>Asuka</t>
        </is>
      </c>
    </row>
    <row r="23" ht="15" customHeight="1" s="24">
      <c r="A23" s="28" t="n">
        <v>14</v>
      </c>
      <c r="B23" s="35" t="inlineStr">
        <is>
          <t>Música de elevador</t>
        </is>
      </c>
      <c r="C23" s="35" t="inlineStr">
        <is>
          <t>Ativa</t>
        </is>
      </c>
      <c r="D23" s="35" t="inlineStr">
        <is>
          <t>Música</t>
        </is>
      </c>
      <c r="E23" s="35" t="inlineStr">
        <is>
          <t>faixa nota −1 tocando ≥60 s sem pulo</t>
        </is>
      </c>
      <c r="F23" s="35" t="inlineStr">
        <is>
          <t>B2+C1 (1500) → B7+C4 (1200)</t>
        </is>
      </c>
      <c r="G23" s="35" t="inlineStr">
        <is>
          <t>Asuka</t>
        </is>
      </c>
    </row>
    <row r="24" ht="15" customHeight="1" s="24">
      <c r="A24" s="28" t="n">
        <v>15</v>
      </c>
      <c r="B24" s="35" t="inlineStr">
        <is>
          <t>Você pulou ESSA?</t>
        </is>
      </c>
      <c r="C24" s="35" t="inlineStr">
        <is>
          <t>Ativa</t>
        </is>
      </c>
      <c r="D24" s="35" t="inlineStr">
        <is>
          <t>Música</t>
        </is>
      </c>
      <c r="E24" s="35" t="inlineStr">
        <is>
          <t>Pedro pula faixa nota 2 em &lt;20 s; nunca com ele mal</t>
        </is>
      </c>
      <c r="F24" s="35" t="inlineStr">
        <is>
          <t>B9+C7 (400) → B6+C8+D8 (1500) → B7+C9 (1000)</t>
        </is>
      </c>
      <c r="G24" s="35" t="inlineStr">
        <is>
          <t>Asuka</t>
        </is>
      </c>
    </row>
    <row r="25" ht="15" customHeight="1" s="24">
      <c r="A25" s="28" t="n">
        <v>16</v>
      </c>
      <c r="B25" s="35" t="inlineStr">
        <is>
          <t>Silêncio longo</t>
        </is>
      </c>
      <c r="C25" s="35" t="inlineStr">
        <is>
          <t>Passiva</t>
        </is>
      </c>
      <c r="D25" s="35" t="inlineStr">
        <is>
          <t>Tédio e sono</t>
        </is>
      </c>
      <c r="E25" s="35" t="inlineStr">
        <is>
          <t>madrugada, nada tocando/rodando, sem clique ≥30 min; 1×/noite</t>
        </is>
      </c>
      <c r="F25" s="35" t="inlineStr">
        <is>
          <t>B10+C9 (2000) → B1+C1 (800)</t>
        </is>
      </c>
      <c r="G25" s="35" t="inlineStr">
        <is>
          <t>Asuka</t>
        </is>
      </c>
    </row>
    <row r="26" ht="15" customHeight="1" s="24">
      <c r="A26" s="28" t="n">
        <v>17</v>
      </c>
      <c r="B26" s="35" t="inlineStr">
        <is>
          <t>Ei, tô aqui</t>
        </is>
      </c>
      <c r="C26" s="35" t="inlineStr">
        <is>
          <t>Passiva</t>
        </is>
      </c>
      <c r="D26" s="35" t="inlineStr">
        <is>
          <t>Tédio e sono</t>
        </is>
      </c>
      <c r="E26" s="35" t="inlineStr">
        <is>
          <t>8h–23h, sem música, Claude parado ≥40 min; 1 a cada 2 h</t>
        </is>
      </c>
      <c r="F26" s="35" t="inlineStr">
        <is>
          <t>B1+C9 (1200) → B9+C7+D4 (800) → B1+C10 (800)</t>
        </is>
      </c>
      <c r="G26" s="35" t="inlineStr">
        <is>
          <t>Aqua</t>
        </is>
      </c>
    </row>
    <row r="27" ht="15" customHeight="1" s="24">
      <c r="A27" s="28" t="n">
        <v>18</v>
      </c>
      <c r="B27" s="35" t="inlineStr">
        <is>
          <t>Esperando resposta</t>
        </is>
      </c>
      <c r="C27" s="35" t="inlineStr">
        <is>
          <t>Ativa</t>
        </is>
      </c>
      <c r="D27" s="35" t="inlineStr">
        <is>
          <t>Conversa e personalidade</t>
        </is>
      </c>
      <c r="E27" s="35" t="inlineStr">
        <is>
          <t>Magui volta de falando para parada → olhar fixo 3 s</t>
        </is>
      </c>
      <c r="F27" s="35" t="inlineStr">
        <is>
          <t>B1+C1 (3000)</t>
        </is>
      </c>
      <c r="G27" s="35" t="inlineStr">
        <is>
          <t>Kurisu</t>
        </is>
      </c>
    </row>
    <row r="28" ht="15" customHeight="1" s="24">
      <c r="A28" s="28" t="n">
        <v>19</v>
      </c>
      <c r="B28" s="35" t="inlineStr">
        <is>
          <t>Aniversário dela</t>
        </is>
      </c>
      <c r="C28" s="35" t="inlineStr">
        <is>
          <t>Ativa</t>
        </is>
      </c>
      <c r="D28" s="35" t="inlineStr">
        <is>
          <t>Tempo</t>
        </is>
      </c>
      <c r="E28" s="35" t="inlineStr">
        <is>
          <t>data do primeiro commit do repositório MAGI</t>
        </is>
      </c>
      <c r="F28" s="35" t="inlineStr">
        <is>
          <t>B9+C7+D5 (500) → B5+C6+D1+D6+D9 (3000)</t>
        </is>
      </c>
      <c r="G28" s="35" t="inlineStr">
        <is>
          <t>Aqua + Kurisu</t>
        </is>
      </c>
    </row>
    <row r="29" ht="15" customHeight="1" s="24">
      <c r="A29" s="28" t="n">
        <v>20</v>
      </c>
      <c r="B29" s="35" t="inlineStr">
        <is>
          <t>Braços cruzados</t>
        </is>
      </c>
      <c r="C29" s="35" t="inlineStr">
        <is>
          <t>Passiva</t>
        </is>
      </c>
      <c r="D29" s="35" t="inlineStr">
        <is>
          <t>Ambiente</t>
        </is>
      </c>
      <c r="E29" s="35" t="inlineStr">
        <is>
          <t>aleatório raro com fundo stress/focus; 1×/dia (condicionada à arte P13)</t>
        </is>
      </c>
      <c r="F29" s="35" t="inlineStr">
        <is>
          <t>B7+C9+P13 (2000) → B1+C1 (600)</t>
        </is>
      </c>
      <c r="G29" s="35" t="inlineStr">
        <is>
          <t>Asuka</t>
        </is>
      </c>
    </row>
    <row r="30" ht="15" customHeight="1" s="24">
      <c r="A30" s="28" t="n">
        <v>21</v>
      </c>
      <c r="B30" s="35" t="n"/>
      <c r="C30" s="35" t="n"/>
      <c r="D30" s="35" t="n"/>
      <c r="E30" s="35" t="n"/>
      <c r="F30" s="35" t="n"/>
      <c r="G30" s="35" t="n"/>
    </row>
    <row r="31" ht="15" customHeight="1" s="24">
      <c r="A31" s="28" t="n">
        <v>22</v>
      </c>
      <c r="B31" s="35" t="n"/>
      <c r="C31" s="35" t="n"/>
      <c r="D31" s="35" t="n"/>
      <c r="E31" s="35" t="n"/>
      <c r="F31" s="35" t="n"/>
      <c r="G31" s="35" t="n"/>
    </row>
    <row r="32" ht="15" customHeight="1" s="24">
      <c r="A32" s="28" t="n">
        <v>23</v>
      </c>
      <c r="B32" s="35" t="n"/>
      <c r="C32" s="35" t="n"/>
      <c r="D32" s="35" t="n"/>
      <c r="E32" s="35" t="n"/>
      <c r="F32" s="35" t="n"/>
      <c r="G32" s="35" t="n"/>
    </row>
    <row r="33" ht="15" customHeight="1" s="24">
      <c r="A33" s="28" t="n">
        <v>24</v>
      </c>
      <c r="B33" s="35" t="n"/>
      <c r="C33" s="35" t="n"/>
      <c r="D33" s="35" t="n"/>
      <c r="E33" s="35" t="n"/>
      <c r="F33" s="35" t="n"/>
      <c r="G33" s="35" t="n"/>
    </row>
    <row r="34" ht="15" customHeight="1" s="24">
      <c r="A34" s="28" t="n">
        <v>25</v>
      </c>
      <c r="B34" s="35" t="n"/>
      <c r="C34" s="35" t="n"/>
      <c r="D34" s="35" t="n"/>
      <c r="E34" s="35" t="n"/>
      <c r="F34" s="35" t="n"/>
      <c r="G34" s="35" t="n"/>
    </row>
    <row r="35" ht="15" customHeight="1" s="24">
      <c r="A35" s="28" t="n">
        <v>26</v>
      </c>
      <c r="B35" s="35" t="n"/>
      <c r="C35" s="35" t="n"/>
      <c r="D35" s="35" t="n"/>
      <c r="E35" s="35" t="n"/>
      <c r="F35" s="35" t="n"/>
      <c r="G35" s="35" t="n"/>
    </row>
    <row r="36" ht="15" customHeight="1" s="24">
      <c r="A36" s="28" t="n">
        <v>27</v>
      </c>
      <c r="B36" s="35" t="n"/>
      <c r="C36" s="35" t="n"/>
      <c r="D36" s="35" t="n"/>
      <c r="E36" s="35" t="n"/>
      <c r="F36" s="35" t="n"/>
      <c r="G36" s="35" t="n"/>
    </row>
    <row r="37" ht="15" customHeight="1" s="24">
      <c r="A37" s="28" t="n">
        <v>28</v>
      </c>
      <c r="B37" s="35" t="n"/>
      <c r="C37" s="35" t="n"/>
      <c r="D37" s="35" t="n"/>
      <c r="E37" s="35" t="n"/>
      <c r="F37" s="35" t="n"/>
      <c r="G37" s="35" t="n"/>
    </row>
    <row r="38" ht="15" customHeight="1" s="24">
      <c r="A38" s="28" t="n">
        <v>29</v>
      </c>
      <c r="B38" s="35" t="n"/>
      <c r="C38" s="35" t="n"/>
      <c r="D38" s="35" t="n"/>
      <c r="E38" s="35" t="n"/>
      <c r="F38" s="35" t="n"/>
      <c r="G38" s="35" t="n"/>
    </row>
    <row r="39" ht="15" customHeight="1" s="24">
      <c r="A39" s="28" t="n">
        <v>30</v>
      </c>
      <c r="B39" s="35" t="n"/>
      <c r="C39" s="35" t="n"/>
      <c r="D39" s="35" t="n"/>
      <c r="E39" s="35" t="n"/>
      <c r="F39" s="35" t="n"/>
      <c r="G39" s="35" t="n"/>
    </row>
  </sheetData>
  <mergeCells count="5">
    <mergeCell ref="B3:G3"/>
    <mergeCell ref="B5:G5"/>
    <mergeCell ref="B4:G4"/>
    <mergeCell ref="B7:G7"/>
    <mergeCell ref="B6:G6"/>
  </mergeCells>
  <dataValidations count="1">
    <dataValidation sqref="C10:C39" showDropDown="0" showInputMessage="0" showErrorMessage="0" allowBlank="1" type="list" errorStyle="stop" operator="between">
      <formula1>"Passiva,Ativa"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3" min="1" max="1"/>
    <col width="34" customWidth="1" style="23" min="2" max="2"/>
    <col width="46" customWidth="1" style="23" min="3" max="3"/>
    <col width="44" customWidth="1" style="23" min="4" max="4"/>
    <col width="18" customWidth="1" style="23" min="5" max="5"/>
  </cols>
  <sheetData>
    <row r="1" ht="17.35" customHeight="1" s="24">
      <c r="A1" s="25" t="inlineStr">
        <is>
          <t>Humor persistente</t>
        </is>
      </c>
    </row>
    <row r="2" ht="15" customHeight="1" s="24">
      <c r="A2" s="26" t="inlineStr">
        <is>
          <t>Variável que dura minutos e inclina quais reações passivas aparecem. Peso (azul) é um ponto de partida para ajustar, não um valor definido. O Conselho pode rever os fatores.</t>
        </is>
      </c>
    </row>
    <row r="4" ht="31.5" customHeight="1" s="24">
      <c r="A4" s="27" t="inlineStr">
        <is>
          <t>Fator</t>
        </is>
      </c>
      <c r="B4" s="27" t="inlineStr">
        <is>
          <t>Condição</t>
        </is>
      </c>
      <c r="C4" s="27" t="inlineStr">
        <is>
          <t>Efeito nas reações passivas</t>
        </is>
      </c>
      <c r="D4" s="27" t="inlineStr">
        <is>
          <t>Reações favorecidas</t>
        </is>
      </c>
      <c r="E4" s="27" t="inlineStr">
        <is>
          <t>Peso inicial (0–10)</t>
        </is>
      </c>
    </row>
    <row r="5" ht="15" customHeight="1" s="24">
      <c r="A5" s="29" t="inlineStr">
        <is>
          <t>Sessão longa</t>
        </is>
      </c>
      <c r="B5" s="31" t="inlineStr">
        <is>
          <t>Sessão de 2 h ou mais</t>
        </is>
      </c>
      <c r="C5" s="31" t="inlineStr">
        <is>
          <t>Mais sonolência e bocejos</t>
        </is>
      </c>
      <c r="D5" s="31" t="inlineStr">
        <is>
          <t>Bocejo, Cabeça pesada, Cochilo</t>
        </is>
      </c>
      <c r="E5" s="38" t="n">
        <v>6</v>
      </c>
    </row>
    <row r="6" ht="23.85" customHeight="1" s="24">
      <c r="A6" s="29" t="inlineStr">
        <is>
          <t>Música tocando (qualquer)</t>
        </is>
      </c>
      <c r="B6" s="31" t="inlineStr">
        <is>
          <t>Qualquer música em reprodução</t>
        </is>
      </c>
      <c r="C6" s="31" t="inlineStr">
        <is>
          <t>Fone na cabeça, cabeça balançando; tira só pra falar com você</t>
        </is>
      </c>
      <c r="D6" s="31" t="inlineStr">
        <is>
          <t>Cabeça no ritmo, Ajeitando o fone, Cantarolando sozinha</t>
        </is>
      </c>
      <c r="E6" s="38" t="n">
        <v>7</v>
      </c>
    </row>
    <row r="7" ht="23.85" customHeight="1" s="24">
      <c r="A7" s="29" t="inlineStr">
        <is>
          <t>Música que ela gosta</t>
        </is>
      </c>
      <c r="B7" s="31" t="inlineStr">
        <is>
          <t>Música com nota ≥ 1 no gosto</t>
        </is>
      </c>
      <c r="C7" s="31" t="inlineStr">
        <is>
          <t>Mais sorrisos de canto, mais animação</t>
        </is>
      </c>
      <c r="D7" s="31" t="inlineStr">
        <is>
          <t>Micro sorriso de canto, Piscada lenta de gato, Rindo sozinha</t>
        </is>
      </c>
      <c r="E7" s="38" t="n">
        <v>7</v>
      </c>
    </row>
    <row r="8" ht="23.85" customHeight="1" s="24">
      <c r="A8" s="29" t="inlineStr">
        <is>
          <t>PC com problema</t>
        </is>
      </c>
      <c r="B8" s="31" t="inlineStr">
        <is>
          <t>CPU/GPU quente, FPS caindo, travou</t>
        </is>
      </c>
      <c r="C8" s="31" t="inlineStr">
        <is>
          <t>Mais preocupação e impaciência</t>
        </is>
      </c>
      <c r="D8" s="31" t="inlineStr">
        <is>
          <t>Suspiro leve, Beicinho passageiro, Observando o HUD</t>
        </is>
      </c>
      <c r="E8" s="38" t="n">
        <v>7</v>
      </c>
    </row>
    <row r="9" ht="15" customHeight="1" s="24">
      <c r="A9" s="29" t="inlineStr">
        <is>
          <t>Manhã</t>
        </is>
      </c>
      <c r="B9" s="31" t="inlineStr">
        <is>
          <t>Primeiro uso do dia</t>
        </is>
      </c>
      <c r="C9" s="31" t="inlineStr">
        <is>
          <t>"Bom dia": acorda e sorri</t>
        </is>
      </c>
      <c r="D9" s="31" t="inlineStr">
        <is>
          <t>Piscada lenta de gato, Micro sorriso de canto</t>
        </is>
      </c>
      <c r="E9" s="38" t="n">
        <v>3</v>
      </c>
    </row>
    <row r="10" ht="15" customHeight="1" s="24">
      <c r="A10" s="29" t="inlineStr">
        <is>
          <t>Madrugada</t>
        </is>
      </c>
      <c r="B10" s="31" t="inlineStr">
        <is>
          <t>Uso de madrugada</t>
        </is>
      </c>
      <c r="C10" s="31" t="inlineStr">
        <is>
          <t>Sonolenta, bocejos</t>
        </is>
      </c>
      <c r="D10" s="31" t="inlineStr">
        <is>
          <t>Bocejo, Cabeça pesada, Suspiro leve</t>
        </is>
      </c>
      <c r="E10" s="38" t="n">
        <v>7</v>
      </c>
    </row>
    <row r="11">
      <c r="A11" t="inlineStr">
        <is>
          <t>Pedro mal</t>
        </is>
      </c>
      <c r="B11" t="inlineStr">
        <is>
          <t>Humor do Pedro 0–1 (núcleo)</t>
        </is>
      </c>
      <c r="C11" t="inlineStr">
        <is>
          <t>Só carinho; bloqueia a zoeira</t>
        </is>
      </c>
      <c r="D11" t="inlineStr">
        <is>
          <t>Piscada lenta de gato, Respirar e balançar</t>
        </is>
      </c>
      <c r="E11" t="n">
        <v>9</v>
      </c>
    </row>
    <row r="12">
      <c r="A12" t="inlineStr">
        <is>
          <t>Desempenho em jogo</t>
        </is>
      </c>
      <c r="B12" t="inlineStr">
        <is>
          <t>Jogo aberto + FPS estável ≥5 min</t>
        </is>
      </c>
      <c r="C12" t="inlineStr">
        <is>
          <t>Passivas pela metade</t>
        </is>
      </c>
      <c r="D12" t="inlineStr">
        <is>
          <t>Micro sorriso de canto, Modo chefe, Brilho da presilha</t>
        </is>
      </c>
      <c r="E12" t="n">
        <v>7</v>
      </c>
    </row>
    <row r="13">
      <c r="A13" t="inlineStr">
        <is>
          <t>Música que ela odeia</t>
        </is>
      </c>
      <c r="B13" t="inlineStr">
        <is>
          <t>Nota −1 tocando</t>
        </is>
      </c>
      <c r="C13" t="inlineStr">
        <is>
          <t>Emburrada leve</t>
        </is>
      </c>
      <c r="D13" t="inlineStr">
        <is>
          <t>Beicinho passageiro, Suspiro leve, Soprando a franja</t>
        </is>
      </c>
      <c r="E13" t="n">
        <v>5</v>
      </c>
    </row>
    <row r="14">
      <c r="A14" t="inlineStr">
        <is>
          <t>Vitória recente</t>
        </is>
      </c>
      <c r="B14" t="inlineStr">
        <is>
          <t>10 min após 35, 37, 39, 53, 75, faxina</t>
        </is>
      </c>
      <c r="C14" t="inlineStr">
        <is>
          <t>Mais sorrisos</t>
        </is>
      </c>
      <c r="D14" t="inlineStr">
        <is>
          <t>Micro sorriso de canto, Rindo sozinha</t>
        </is>
      </c>
      <c r="E14" t="n">
        <v>6</v>
      </c>
    </row>
    <row r="15">
      <c r="A15" t="inlineStr">
        <is>
          <t>Silêncio longo</t>
        </is>
      </c>
      <c r="B15" t="inlineStr">
        <is>
          <t>Sem música e Claude parado ≥30 min</t>
        </is>
      </c>
      <c r="C15" t="inlineStr">
        <is>
          <t>Tédio</t>
        </is>
      </c>
      <c r="D15" t="inlineStr">
        <is>
          <t>Suspiro leve, Beicinho passageiro, Soprando a franja</t>
        </is>
      </c>
      <c r="E15" t="n">
        <v>4</v>
      </c>
    </row>
    <row r="16">
      <c r="A16" t="inlineStr">
        <is>
          <t>Favorita do Dia tocando</t>
        </is>
      </c>
      <c r="B16" t="inlineStr">
        <is>
          <t>Artista da Favorita do Dia tocando</t>
        </is>
      </c>
      <c r="C16" t="inlineStr">
        <is>
          <t>Animação; nunca corar</t>
        </is>
      </c>
      <c r="D16" t="inlineStr">
        <is>
          <t>Cabeça no ritmo, Micro sorriso de canto, Cantarolando sozinha</t>
        </is>
      </c>
      <c r="E16" t="n">
        <v>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3" min="1" max="1"/>
    <col width="12" customWidth="1" style="23" min="2" max="2"/>
    <col width="24" customWidth="1" style="23" min="3" max="3"/>
    <col width="20" customWidth="1" style="23" min="4" max="4"/>
    <col width="40" customWidth="1" style="23" min="5" max="5"/>
    <col width="60" customWidth="1" style="23" min="6" max="6"/>
    <col width="34" customWidth="1" style="23" min="7" max="7"/>
    <col width="26" customWidth="1" style="23" min="8" max="8"/>
    <col width="10" customWidth="1" style="23" min="9" max="9"/>
  </cols>
  <sheetData>
    <row r="1" ht="17.35" customHeight="1" s="24">
      <c r="A1" s="25" t="inlineStr">
        <is>
          <t>Assets novos que mais rendem</t>
        </is>
      </c>
    </row>
    <row r="2" ht="15" customHeight="1" s="24">
      <c r="A2" s="26" t="inlineStr">
        <is>
          <t>IDs sugeridos continuam a numeração da ficha (B1–B15, P1–P8, E1–E2). Prompts seguem o padrão de inpainting da ficha. A coluna "Reações que usam" aponta pra aba Reações. Marque "Feita?" conforme for entregando.</t>
        </is>
      </c>
    </row>
    <row r="4" ht="31.5" customHeight="1" s="24">
      <c r="A4" s="27" t="inlineStr">
        <is>
          <t>Prioridade</t>
        </is>
      </c>
      <c r="B4" s="27" t="inlineStr">
        <is>
          <t>ID sugerido</t>
        </is>
      </c>
      <c r="C4" s="27" t="inlineStr">
        <is>
          <t>Nome</t>
        </is>
      </c>
      <c r="D4" s="27" t="inlineStr">
        <is>
          <t>Região que muda</t>
        </is>
      </c>
      <c r="E4" s="27" t="inlineStr">
        <is>
          <t>O que desenhar</t>
        </is>
      </c>
      <c r="F4" s="27" t="inlineStr">
        <is>
          <t>Prompt (inpainting)</t>
        </is>
      </c>
      <c r="G4" s="27" t="inlineStr">
        <is>
          <t>Usos</t>
        </is>
      </c>
      <c r="H4" s="27" t="inlineStr">
        <is>
          <t>Reações que usam</t>
        </is>
      </c>
      <c r="I4" s="27" t="inlineStr">
        <is>
          <t>Feita?</t>
        </is>
      </c>
    </row>
    <row r="5" ht="35.05" customHeight="1" s="24">
      <c r="A5" s="30" t="n">
        <v>1</v>
      </c>
      <c r="B5" s="30" t="inlineStr">
        <is>
          <t>B16</t>
        </is>
      </c>
      <c r="C5" s="29" t="inlineStr">
        <is>
          <t>Piscadinha (wink)</t>
        </is>
      </c>
      <c r="D5" s="31" t="inlineStr">
        <is>
          <t>olhos + sobrancelhas</t>
        </is>
      </c>
      <c r="E5" s="31" t="inlineStr">
        <is>
          <t>Olho esquerdo fechado em ^, olho direito aberto e sorrindo, sobrancelhas felizes.</t>
        </is>
      </c>
      <c r="F5" s="31" t="inlineStr">
        <is>
          <t>same character, same pose, keep the solid #00FF00 green background, edit ONLY the eyes: winking, left eye closed in a happy ^ curve, right eye open and smiling, eyebrows raised and arched</t>
        </is>
      </c>
      <c r="G5" s="31" t="inlineStr">
        <is>
          <t>zoeira, flerte, "deixa comigo"</t>
        </is>
      </c>
      <c r="H5" s="31" t="inlineStr">
        <is>
          <t>Provocação com piscadinha</t>
        </is>
      </c>
      <c r="I5" s="30" t="inlineStr">
        <is>
          <t>não</t>
        </is>
      </c>
    </row>
    <row r="6" ht="35.05" customHeight="1" s="24">
      <c r="A6" s="30" t="n">
        <v>1</v>
      </c>
      <c r="B6" s="30" t="inlineStr">
        <is>
          <t>E3</t>
        </is>
      </c>
      <c r="C6" s="29" t="inlineStr">
        <is>
          <t>Fone no pescoço</t>
        </is>
      </c>
      <c r="D6" s="31" t="inlineStr">
        <is>
          <t>fone / cabeça</t>
        </is>
      </c>
      <c r="E6" s="31" t="inlineStr">
        <is>
          <t>Fone de ouvido apoiado ao redor do pescoço, cabeça sem fone. Estado de repouso sem música.</t>
        </is>
      </c>
      <c r="F6" s="31" t="inlineStr">
        <is>
          <t>same character, same pose, keep the solid #00FF00 green background, edit ONLY: headphones resting around her neck, no headphones on the head</t>
        </is>
      </c>
      <c r="G6" s="31" t="inlineStr">
        <is>
          <t>repouso sem música; troca com o E2 quando a música começa ou para</t>
        </is>
      </c>
      <c r="H6" s="31" t="inlineStr">
        <is>
          <t>Fone em repouso</t>
        </is>
      </c>
      <c r="I6" s="30" t="inlineStr">
        <is>
          <t>não</t>
        </is>
      </c>
    </row>
    <row r="7" ht="35.05" customHeight="1" s="24">
      <c r="A7" s="30" t="n">
        <v>2</v>
      </c>
      <c r="B7" s="30" t="inlineStr">
        <is>
          <t>P9</t>
        </is>
      </c>
      <c r="C7" s="29" t="inlineStr">
        <is>
          <t>Braço acenando</t>
        </is>
      </c>
      <c r="D7" s="31" t="inlineStr">
        <is>
          <t>braço (troca P7/P8)</t>
        </is>
      </c>
      <c r="E7" s="31" t="inlineStr">
        <is>
          <t>Braço levantado em aceno amigável, mão aberta.</t>
        </is>
      </c>
      <c r="F7" s="31" t="inlineStr">
        <is>
          <t>same character, same pose, keep the solid #00FF00 green background, edit ONLY the arm on the right side of the image: arm raised in a friendly wave, open hand</t>
        </is>
      </c>
      <c r="G7" s="31" t="inlineStr">
        <is>
          <t>"oi", "tchau"</t>
        </is>
      </c>
      <c r="H7" s="31" t="inlineStr">
        <is>
          <t>Bom dia, PC desligando (opcional)</t>
        </is>
      </c>
      <c r="I7" s="30" t="inlineStr">
        <is>
          <t>não</t>
        </is>
      </c>
    </row>
    <row r="8" ht="35.05" customHeight="1" s="24">
      <c r="A8" s="30" t="n">
        <v>2</v>
      </c>
      <c r="B8" s="30" t="inlineStr">
        <is>
          <t>P10</t>
        </is>
      </c>
      <c r="C8" s="29" t="inlineStr">
        <is>
          <t>Mão no queixo</t>
        </is>
      </c>
      <c r="D8" s="31" t="inlineStr">
        <is>
          <t>braço (troca P7/P8)</t>
        </is>
      </c>
      <c r="E8" s="31" t="inlineStr">
        <is>
          <t>Mão levantada até o queixo, pose de quem pensa.</t>
        </is>
      </c>
      <c r="F8" s="31" t="inlineStr">
        <is>
          <t>same character, same pose, keep the solid #00FF00 green background, edit ONLY the arm on the right side of the image: hand raised to the chin in a thinking pose</t>
        </is>
      </c>
      <c r="G8" s="31" t="inlineStr">
        <is>
          <t>pensando, ideia</t>
        </is>
      </c>
      <c r="H8" s="31" t="inlineStr">
        <is>
          <t>Ideia!, Indecisa (opcional)</t>
        </is>
      </c>
      <c r="I8" s="30" t="inlineStr">
        <is>
          <t>não</t>
        </is>
      </c>
    </row>
    <row r="9" ht="35.05" customHeight="1" s="24">
      <c r="A9" s="30" t="n">
        <v>3</v>
      </c>
      <c r="B9" s="30" t="inlineStr">
        <is>
          <t>P11</t>
        </is>
      </c>
      <c r="C9" s="29" t="inlineStr">
        <is>
          <t>Mão no fone</t>
        </is>
      </c>
      <c r="D9" s="31" t="inlineStr">
        <is>
          <t>braço (troca P7/P8)</t>
        </is>
      </c>
      <c r="E9" s="31" t="inlineStr">
        <is>
          <t>Mão levantada tocando o fone na orelha, ajeitando ou ouvindo com atenção.</t>
        </is>
      </c>
      <c r="F9" s="31" t="inlineStr">
        <is>
          <t>same character, same pose, headphones on her head, keep the solid #00FF00 green background, edit ONLY the arm on the right side of the image: hand raised touching the headphone on her ear</t>
        </is>
      </c>
      <c r="G9" s="31" t="inlineStr">
        <is>
          <t>ajeitando o fone, ouvindo atento</t>
        </is>
      </c>
      <c r="H9" s="31" t="inlineStr">
        <is>
          <t>Ajeitando o fone (opcional)</t>
        </is>
      </c>
      <c r="I9" s="30" t="inlineStr">
        <is>
          <t>não</t>
        </is>
      </c>
    </row>
    <row r="10" ht="23.85" customHeight="1" s="24">
      <c r="A10" s="30" t="n">
        <v>2</v>
      </c>
      <c r="B10" s="30" t="inlineStr">
        <is>
          <t>B17</t>
        </is>
      </c>
      <c r="C10" s="29" t="inlineStr">
        <is>
          <t>Olhos felizes meio</t>
        </is>
      </c>
      <c r="D10" s="31" t="inlineStr">
        <is>
          <t>olhos + sobrancelhas</t>
        </is>
      </c>
      <c r="E10" s="31" t="inlineStr">
        <is>
          <t>B4 com as pálpebras na metade: piscada suave do feliz (hoje vai direto pro fechado B5).</t>
        </is>
      </c>
      <c r="F10" s="31" t="inlineStr">
        <is>
          <t>same character, same pose, edit only the eyes: smiling happy eyes, eyelids half closed mid-blink, eyebrows raised and arched</t>
        </is>
      </c>
      <c r="G10" s="31" t="inlineStr">
        <is>
          <t>piscada do feliz</t>
        </is>
      </c>
      <c r="H10" s="31" t="inlineStr">
        <is>
          <t>—</t>
        </is>
      </c>
      <c r="I10" s="30" t="inlineStr">
        <is>
          <t>não</t>
        </is>
      </c>
    </row>
    <row r="11">
      <c r="A11" t="n">
        <v>0</v>
      </c>
      <c r="B11" t="inlineStr">
        <is>
          <t>D1/D2/D6/D8</t>
        </is>
      </c>
      <c r="C11" t="inlineStr">
        <is>
          <t>Rubor, suor, notas, veia</t>
        </is>
      </c>
      <c r="D11" t="inlineStr">
        <is>
          <t>detalhes</t>
        </is>
      </c>
      <c r="E11" t="inlineStr">
        <is>
          <t>Arte dos detalhes hoje desenhados em código</t>
        </is>
      </c>
      <c r="F11" t="inlineStr"/>
      <c r="G11" t="inlineStr">
        <is>
          <t>dezenas de sequências</t>
        </is>
      </c>
      <c r="H11" t="inlineStr">
        <is>
          <t>várias</t>
        </is>
      </c>
      <c r="I11" t="inlineStr">
        <is>
          <t>não</t>
        </is>
      </c>
    </row>
    <row r="12">
      <c r="A12" t="n">
        <v>1</v>
      </c>
      <c r="B12" t="inlineStr">
        <is>
          <t>D7</t>
        </is>
      </c>
      <c r="C12" t="inlineStr">
        <is>
          <t>Lágrima</t>
        </is>
      </c>
      <c r="D12" t="inlineStr">
        <is>
          <t>detalhes</t>
        </is>
      </c>
      <c r="E12" t="inlineStr">
        <is>
          <t>Lágrima no canto do olho</t>
        </is>
      </c>
      <c r="F12" t="inlineStr"/>
      <c r="G12" t="inlineStr">
        <is>
          <t>29, 76 (madrugada)</t>
        </is>
      </c>
      <c r="H12" t="inlineStr">
        <is>
          <t>Música triste, Rindo</t>
        </is>
      </c>
      <c r="I12" t="inlineStr">
        <is>
          <t>não</t>
        </is>
      </c>
    </row>
    <row r="13">
      <c r="A13" t="n">
        <v>2</v>
      </c>
      <c r="B13" t="inlineStr">
        <is>
          <t>P12</t>
        </is>
      </c>
      <c r="C13" t="inlineStr">
        <is>
          <t>Punho cerrado</t>
        </is>
      </c>
      <c r="D13" t="inlineStr">
        <is>
          <t>braço (troca P7/P8)</t>
        </is>
      </c>
      <c r="E13" t="inlineStr">
        <is>
          <t>Mão fechada em punho, orgulho</t>
        </is>
      </c>
      <c r="F13" t="inlineStr"/>
      <c r="G13" t="inlineStr">
        <is>
          <t>Duelo com a Ado, Partida sem tropeço</t>
        </is>
      </c>
      <c r="H13" t="inlineStr">
        <is>
          <t>—</t>
        </is>
      </c>
      <c r="I13" t="inlineStr">
        <is>
          <t>não</t>
        </is>
      </c>
    </row>
    <row r="14">
      <c r="A14" t="n">
        <v>2</v>
      </c>
      <c r="B14" t="inlineStr">
        <is>
          <t>P13</t>
        </is>
      </c>
      <c r="C14" t="inlineStr">
        <is>
          <t>Braços cruzados</t>
        </is>
      </c>
      <c r="D14" t="inlineStr">
        <is>
          <t>braços</t>
        </is>
      </c>
      <c r="E14" t="inlineStr">
        <is>
          <t>Braços cruzados na frente do corpo</t>
        </is>
      </c>
      <c r="F14" t="inlineStr"/>
      <c r="G14" t="inlineStr">
        <is>
          <t>cobrança, orgulho</t>
        </is>
      </c>
      <c r="H14" t="inlineStr">
        <is>
          <t>Braços cruzados</t>
        </is>
      </c>
      <c r="I14" t="inlineStr">
        <is>
          <t>não</t>
        </is>
      </c>
    </row>
  </sheetData>
  <dataValidations count="1">
    <dataValidation sqref="I5:I10" showDropDown="0" showInputMessage="0" showErrorMessage="0" allowBlank="0" type="list" errorStyle="stop" operator="between">
      <formula1>"não,sim"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2026-10-08T17:29:51Z</dcterms:created>
  <dcterms:modified xmlns:dcterms="http://purl.org/dc/terms/" xmlns:xsi="http://www.w3.org/2001/XMLSchema-instance" xsi:type="dcterms:W3CDTF">2026-10-09T00:32:01Z</dcterms:modified>
  <cp:revision>0</cp:revision>
</cp:coreProperties>
</file>